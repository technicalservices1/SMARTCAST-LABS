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martsourcerentals.sharepoint.com/sites/SolutionsPortal/Shared Documents/Starlink Billing/"/>
    </mc:Choice>
  </mc:AlternateContent>
  <xr:revisionPtr revIDLastSave="408" documentId="13_ncr:1_{DEAFCDAC-1B04-4323-AF14-C4A080D74A50}" xr6:coauthVersionLast="47" xr6:coauthVersionMax="47" xr10:uidLastSave="{AC592B2D-D0F8-4762-8547-BE146B02EB33}"/>
  <bookViews>
    <workbookView xWindow="-38520" yWindow="180" windowWidth="38640" windowHeight="21120" xr2:uid="{00000000-000D-0000-FFFF-FFFF00000000}"/>
  </bookViews>
  <sheets>
    <sheet name="Data Calculator" sheetId="5" r:id="rId1"/>
    <sheet name="Orders" sheetId="3" r:id="rId2"/>
  </sheets>
  <definedNames>
    <definedName name="ExternalData_1" localSheetId="0" hidden="1">'Data Calculator'!$A$9:$Q$220</definedName>
    <definedName name="ExternalData_2" localSheetId="0" hidden="1">'Data Calculator'!$Z$1:$AA$2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R10" i="5"/>
  <c r="R12" i="5"/>
  <c r="R13" i="5"/>
  <c r="R14" i="5"/>
  <c r="R15" i="5"/>
  <c r="R16" i="5"/>
  <c r="R17" i="5"/>
  <c r="R11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R34" i="5"/>
  <c r="R35" i="5"/>
  <c r="R36" i="5"/>
  <c r="R37" i="5"/>
  <c r="R38" i="5"/>
  <c r="R39" i="5"/>
  <c r="R40" i="5"/>
  <c r="R41" i="5"/>
  <c r="R42" i="5"/>
  <c r="R43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R59" i="5"/>
  <c r="R60" i="5"/>
  <c r="R61" i="5"/>
  <c r="R62" i="5"/>
  <c r="R63" i="5"/>
  <c r="R64" i="5"/>
  <c r="R65" i="5"/>
  <c r="R66" i="5"/>
  <c r="R67" i="5"/>
  <c r="R68" i="5"/>
  <c r="R69" i="5"/>
  <c r="R70" i="5"/>
  <c r="R71" i="5"/>
  <c r="R72" i="5"/>
  <c r="R73" i="5"/>
  <c r="R74" i="5"/>
  <c r="R75" i="5"/>
  <c r="R76" i="5"/>
  <c r="R77" i="5"/>
  <c r="R78" i="5"/>
  <c r="R79" i="5"/>
  <c r="R80" i="5"/>
  <c r="R81" i="5"/>
  <c r="R82" i="5"/>
  <c r="R83" i="5"/>
  <c r="R84" i="5"/>
  <c r="R85" i="5"/>
  <c r="R86" i="5"/>
  <c r="R87" i="5"/>
  <c r="R88" i="5"/>
  <c r="R89" i="5"/>
  <c r="R90" i="5"/>
  <c r="R91" i="5"/>
  <c r="R92" i="5"/>
  <c r="R93" i="5"/>
  <c r="R94" i="5"/>
  <c r="R95" i="5"/>
  <c r="R96" i="5"/>
  <c r="R97" i="5"/>
  <c r="R98" i="5"/>
  <c r="R99" i="5"/>
  <c r="R100" i="5"/>
  <c r="R101" i="5"/>
  <c r="R102" i="5"/>
  <c r="R103" i="5"/>
  <c r="R104" i="5"/>
  <c r="R105" i="5"/>
  <c r="R106" i="5"/>
  <c r="R107" i="5"/>
  <c r="R108" i="5"/>
  <c r="R109" i="5"/>
  <c r="R110" i="5"/>
  <c r="R111" i="5"/>
  <c r="R112" i="5"/>
  <c r="R113" i="5"/>
  <c r="R114" i="5"/>
  <c r="R115" i="5"/>
  <c r="R116" i="5"/>
  <c r="R117" i="5"/>
  <c r="R118" i="5"/>
  <c r="R119" i="5"/>
  <c r="R120" i="5"/>
  <c r="R121" i="5"/>
  <c r="R122" i="5"/>
  <c r="R123" i="5"/>
  <c r="R124" i="5"/>
  <c r="R125" i="5"/>
  <c r="R126" i="5"/>
  <c r="R127" i="5"/>
  <c r="R128" i="5"/>
  <c r="R129" i="5"/>
  <c r="R130" i="5"/>
  <c r="R131" i="5"/>
  <c r="R132" i="5"/>
  <c r="R133" i="5"/>
  <c r="R134" i="5"/>
  <c r="R135" i="5"/>
  <c r="R136" i="5"/>
  <c r="R137" i="5"/>
  <c r="R138" i="5"/>
  <c r="R139" i="5"/>
  <c r="R140" i="5"/>
  <c r="R141" i="5"/>
  <c r="R142" i="5"/>
  <c r="R143" i="5"/>
  <c r="R144" i="5"/>
  <c r="R145" i="5"/>
  <c r="R146" i="5"/>
  <c r="R147" i="5"/>
  <c r="R148" i="5"/>
  <c r="R149" i="5"/>
  <c r="R150" i="5"/>
  <c r="R151" i="5"/>
  <c r="R152" i="5"/>
  <c r="R153" i="5"/>
  <c r="R154" i="5"/>
  <c r="R155" i="5"/>
  <c r="R156" i="5"/>
  <c r="R157" i="5"/>
  <c r="R158" i="5"/>
  <c r="R159" i="5"/>
  <c r="R160" i="5"/>
  <c r="R161" i="5"/>
  <c r="R162" i="5"/>
  <c r="R163" i="5"/>
  <c r="R164" i="5"/>
  <c r="R165" i="5"/>
  <c r="R166" i="5"/>
  <c r="R167" i="5"/>
  <c r="R168" i="5"/>
  <c r="R169" i="5"/>
  <c r="R170" i="5"/>
  <c r="R171" i="5"/>
  <c r="R172" i="5"/>
  <c r="R173" i="5"/>
  <c r="R174" i="5"/>
  <c r="R175" i="5"/>
  <c r="R176" i="5"/>
  <c r="R177" i="5"/>
  <c r="R178" i="5"/>
  <c r="R179" i="5"/>
  <c r="R180" i="5"/>
  <c r="R181" i="5"/>
  <c r="R182" i="5"/>
  <c r="R183" i="5"/>
  <c r="R184" i="5"/>
  <c r="R185" i="5"/>
  <c r="R186" i="5"/>
  <c r="R187" i="5"/>
  <c r="R188" i="5"/>
  <c r="R189" i="5"/>
  <c r="R190" i="5"/>
  <c r="R191" i="5"/>
  <c r="R192" i="5"/>
  <c r="R193" i="5"/>
  <c r="R194" i="5"/>
  <c r="R195" i="5"/>
  <c r="R196" i="5"/>
  <c r="R197" i="5"/>
  <c r="R198" i="5"/>
  <c r="R199" i="5"/>
  <c r="R200" i="5"/>
  <c r="R201" i="5"/>
  <c r="R202" i="5"/>
  <c r="R203" i="5"/>
  <c r="R204" i="5"/>
  <c r="R205" i="5"/>
  <c r="R206" i="5"/>
  <c r="R207" i="5"/>
  <c r="R208" i="5"/>
  <c r="R209" i="5"/>
  <c r="R210" i="5"/>
  <c r="R211" i="5"/>
  <c r="R212" i="5"/>
  <c r="R213" i="5"/>
  <c r="R214" i="5"/>
  <c r="R215" i="5"/>
  <c r="R216" i="5"/>
  <c r="R217" i="5"/>
  <c r="R218" i="5"/>
  <c r="R219" i="5"/>
  <c r="R220" i="5"/>
  <c r="S10" i="5"/>
  <c r="T10" i="5" s="1"/>
  <c r="S12" i="5"/>
  <c r="T12" i="5" s="1"/>
  <c r="S13" i="5"/>
  <c r="T13" i="5" s="1"/>
  <c r="S14" i="5"/>
  <c r="T14" i="5" s="1"/>
  <c r="S15" i="5"/>
  <c r="T15" i="5" s="1"/>
  <c r="S16" i="5"/>
  <c r="S17" i="5"/>
  <c r="T17" i="5" s="1"/>
  <c r="S11" i="5"/>
  <c r="S18" i="5"/>
  <c r="T18" i="5" s="1"/>
  <c r="S19" i="5"/>
  <c r="S20" i="5"/>
  <c r="T20" i="5" s="1"/>
  <c r="S21" i="5"/>
  <c r="S22" i="5"/>
  <c r="T22" i="5" s="1"/>
  <c r="S23" i="5"/>
  <c r="S24" i="5"/>
  <c r="S25" i="5"/>
  <c r="S26" i="5"/>
  <c r="S27" i="5"/>
  <c r="S28" i="5"/>
  <c r="S29" i="5"/>
  <c r="S30" i="5"/>
  <c r="T30" i="5" s="1"/>
  <c r="S31" i="5"/>
  <c r="T31" i="5" s="1"/>
  <c r="S32" i="5"/>
  <c r="T32" i="5" s="1"/>
  <c r="S33" i="5"/>
  <c r="T33" i="5" s="1"/>
  <c r="S34" i="5"/>
  <c r="T34" i="5" s="1"/>
  <c r="S35" i="5"/>
  <c r="T35" i="5" s="1"/>
  <c r="S36" i="5"/>
  <c r="T36" i="5" s="1"/>
  <c r="S37" i="5"/>
  <c r="T37" i="5" s="1"/>
  <c r="S38" i="5"/>
  <c r="T38" i="5" s="1"/>
  <c r="S39" i="5"/>
  <c r="S40" i="5"/>
  <c r="T40" i="5" s="1"/>
  <c r="S41" i="5"/>
  <c r="T41" i="5" s="1"/>
  <c r="S42" i="5"/>
  <c r="T42" i="5" s="1"/>
  <c r="S43" i="5"/>
  <c r="S44" i="5"/>
  <c r="T44" i="5" s="1"/>
  <c r="S45" i="5"/>
  <c r="T45" i="5" s="1"/>
  <c r="S46" i="5"/>
  <c r="T46" i="5" s="1"/>
  <c r="S47" i="5"/>
  <c r="S48" i="5"/>
  <c r="S49" i="5"/>
  <c r="S50" i="5"/>
  <c r="T50" i="5" s="1"/>
  <c r="S51" i="5"/>
  <c r="T51" i="5" s="1"/>
  <c r="S52" i="5"/>
  <c r="T52" i="5" s="1"/>
  <c r="S53" i="5"/>
  <c r="T53" i="5" s="1"/>
  <c r="S54" i="5"/>
  <c r="T54" i="5" s="1"/>
  <c r="S55" i="5"/>
  <c r="T55" i="5" s="1"/>
  <c r="S56" i="5"/>
  <c r="T56" i="5" s="1"/>
  <c r="S57" i="5"/>
  <c r="S58" i="5"/>
  <c r="T58" i="5" s="1"/>
  <c r="S59" i="5"/>
  <c r="T59" i="5" s="1"/>
  <c r="S60" i="5"/>
  <c r="T60" i="5" s="1"/>
  <c r="S61" i="5"/>
  <c r="T61" i="5" s="1"/>
  <c r="S62" i="5"/>
  <c r="T62" i="5" s="1"/>
  <c r="S63" i="5"/>
  <c r="S64" i="5"/>
  <c r="T64" i="5" s="1"/>
  <c r="S65" i="5"/>
  <c r="S66" i="5"/>
  <c r="T66" i="5" s="1"/>
  <c r="S67" i="5"/>
  <c r="S68" i="5"/>
  <c r="T68" i="5" s="1"/>
  <c r="S69" i="5"/>
  <c r="T69" i="5" s="1"/>
  <c r="S70" i="5"/>
  <c r="T70" i="5" s="1"/>
  <c r="S71" i="5"/>
  <c r="T71" i="5" s="1"/>
  <c r="S72" i="5"/>
  <c r="T72" i="5" s="1"/>
  <c r="S73" i="5"/>
  <c r="T73" i="5" s="1"/>
  <c r="S74" i="5"/>
  <c r="T74" i="5" s="1"/>
  <c r="S75" i="5"/>
  <c r="T75" i="5" s="1"/>
  <c r="S76" i="5"/>
  <c r="S77" i="5"/>
  <c r="T77" i="5" s="1"/>
  <c r="S78" i="5"/>
  <c r="T78" i="5" s="1"/>
  <c r="S79" i="5"/>
  <c r="T79" i="5" s="1"/>
  <c r="S80" i="5"/>
  <c r="T80" i="5" s="1"/>
  <c r="S81" i="5"/>
  <c r="T81" i="5" s="1"/>
  <c r="S82" i="5"/>
  <c r="T82" i="5" s="1"/>
  <c r="S83" i="5"/>
  <c r="T83" i="5" s="1"/>
  <c r="S84" i="5"/>
  <c r="T84" i="5" s="1"/>
  <c r="S85" i="5"/>
  <c r="T85" i="5" s="1"/>
  <c r="S86" i="5"/>
  <c r="T86" i="5" s="1"/>
  <c r="S87" i="5"/>
  <c r="S88" i="5"/>
  <c r="T88" i="5" s="1"/>
  <c r="S89" i="5"/>
  <c r="S90" i="5"/>
  <c r="T90" i="5" s="1"/>
  <c r="S91" i="5"/>
  <c r="S92" i="5"/>
  <c r="T92" i="5" s="1"/>
  <c r="S93" i="5"/>
  <c r="S94" i="5"/>
  <c r="T94" i="5" s="1"/>
  <c r="S95" i="5"/>
  <c r="S96" i="5"/>
  <c r="S97" i="5"/>
  <c r="S98" i="5"/>
  <c r="S99" i="5"/>
  <c r="S100" i="5"/>
  <c r="T100" i="5" s="1"/>
  <c r="S101" i="5"/>
  <c r="T101" i="5" s="1"/>
  <c r="S102" i="5"/>
  <c r="T102" i="5" s="1"/>
  <c r="S103" i="5"/>
  <c r="T103" i="5" s="1"/>
  <c r="S104" i="5"/>
  <c r="T104" i="5" s="1"/>
  <c r="S105" i="5"/>
  <c r="S106" i="5"/>
  <c r="T106" i="5" s="1"/>
  <c r="S107" i="5"/>
  <c r="T107" i="5" s="1"/>
  <c r="S108" i="5"/>
  <c r="T108" i="5" s="1"/>
  <c r="S109" i="5"/>
  <c r="T109" i="5" s="1"/>
  <c r="S110" i="5"/>
  <c r="T110" i="5" s="1"/>
  <c r="S111" i="5"/>
  <c r="S112" i="5"/>
  <c r="T112" i="5" s="1"/>
  <c r="S113" i="5"/>
  <c r="S114" i="5"/>
  <c r="T114" i="5" s="1"/>
  <c r="S115" i="5"/>
  <c r="S116" i="5"/>
  <c r="T116" i="5" s="1"/>
  <c r="S117" i="5"/>
  <c r="T117" i="5" s="1"/>
  <c r="S118" i="5"/>
  <c r="T118" i="5" s="1"/>
  <c r="S119" i="5"/>
  <c r="T119" i="5" s="1"/>
  <c r="S120" i="5"/>
  <c r="T120" i="5" s="1"/>
  <c r="S121" i="5"/>
  <c r="T121" i="5" s="1"/>
  <c r="S122" i="5"/>
  <c r="T122" i="5" s="1"/>
  <c r="S123" i="5"/>
  <c r="T123" i="5" s="1"/>
  <c r="S124" i="5"/>
  <c r="T124" i="5" s="1"/>
  <c r="S125" i="5"/>
  <c r="T125" i="5" s="1"/>
  <c r="S126" i="5"/>
  <c r="T126" i="5" s="1"/>
  <c r="S127" i="5"/>
  <c r="T127" i="5" s="1"/>
  <c r="S128" i="5"/>
  <c r="T128" i="5" s="1"/>
  <c r="S129" i="5"/>
  <c r="T129" i="5" s="1"/>
  <c r="S130" i="5"/>
  <c r="T130" i="5" s="1"/>
  <c r="S131" i="5"/>
  <c r="T131" i="5" s="1"/>
  <c r="S132" i="5"/>
  <c r="T132" i="5" s="1"/>
  <c r="S133" i="5"/>
  <c r="T133" i="5" s="1"/>
  <c r="S134" i="5"/>
  <c r="T134" i="5" s="1"/>
  <c r="S135" i="5"/>
  <c r="S136" i="5"/>
  <c r="T136" i="5" s="1"/>
  <c r="S137" i="5"/>
  <c r="S138" i="5"/>
  <c r="T138" i="5" s="1"/>
  <c r="S139" i="5"/>
  <c r="S140" i="5"/>
  <c r="T140" i="5" s="1"/>
  <c r="S141" i="5"/>
  <c r="T141" i="5" s="1"/>
  <c r="S142" i="5"/>
  <c r="T142" i="5" s="1"/>
  <c r="S143" i="5"/>
  <c r="T143" i="5" s="1"/>
  <c r="S144" i="5"/>
  <c r="T144" i="5" s="1"/>
  <c r="S145" i="5"/>
  <c r="S146" i="5"/>
  <c r="T146" i="5" s="1"/>
  <c r="S147" i="5"/>
  <c r="S148" i="5"/>
  <c r="S149" i="5"/>
  <c r="S150" i="5"/>
  <c r="T150" i="5" s="1"/>
  <c r="S151" i="5"/>
  <c r="T151" i="5" s="1"/>
  <c r="S152" i="5"/>
  <c r="T152" i="5" s="1"/>
  <c r="S153" i="5"/>
  <c r="S154" i="5"/>
  <c r="T154" i="5" s="1"/>
  <c r="S155" i="5"/>
  <c r="T155" i="5" s="1"/>
  <c r="S156" i="5"/>
  <c r="T156" i="5" s="1"/>
  <c r="S157" i="5"/>
  <c r="T157" i="5" s="1"/>
  <c r="S158" i="5"/>
  <c r="T158" i="5" s="1"/>
  <c r="S159" i="5"/>
  <c r="S160" i="5"/>
  <c r="T160" i="5" s="1"/>
  <c r="S161" i="5"/>
  <c r="S162" i="5"/>
  <c r="T162" i="5" s="1"/>
  <c r="S163" i="5"/>
  <c r="S164" i="5"/>
  <c r="T164" i="5" s="1"/>
  <c r="S165" i="5"/>
  <c r="S166" i="5"/>
  <c r="T166" i="5" s="1"/>
  <c r="S167" i="5"/>
  <c r="S168" i="5"/>
  <c r="S169" i="5"/>
  <c r="T169" i="5" s="1"/>
  <c r="S170" i="5"/>
  <c r="T170" i="5" s="1"/>
  <c r="S171" i="5"/>
  <c r="T171" i="5" s="1"/>
  <c r="S172" i="5"/>
  <c r="T172" i="5" s="1"/>
  <c r="S173" i="5"/>
  <c r="T173" i="5" s="1"/>
  <c r="S174" i="5"/>
  <c r="T174" i="5" s="1"/>
  <c r="S175" i="5"/>
  <c r="T175" i="5" s="1"/>
  <c r="S176" i="5"/>
  <c r="T176" i="5" s="1"/>
  <c r="S177" i="5"/>
  <c r="T177" i="5" s="1"/>
  <c r="S178" i="5"/>
  <c r="T178" i="5" s="1"/>
  <c r="S179" i="5"/>
  <c r="T179" i="5" s="1"/>
  <c r="S180" i="5"/>
  <c r="T180" i="5" s="1"/>
  <c r="S181" i="5"/>
  <c r="T181" i="5" s="1"/>
  <c r="S182" i="5"/>
  <c r="T182" i="5" s="1"/>
  <c r="S183" i="5"/>
  <c r="S184" i="5"/>
  <c r="T184" i="5" s="1"/>
  <c r="S185" i="5"/>
  <c r="S186" i="5"/>
  <c r="T186" i="5" s="1"/>
  <c r="S187" i="5"/>
  <c r="S188" i="5"/>
  <c r="T188" i="5" s="1"/>
  <c r="S189" i="5"/>
  <c r="S190" i="5"/>
  <c r="T190" i="5" s="1"/>
  <c r="S191" i="5"/>
  <c r="S192" i="5"/>
  <c r="S193" i="5"/>
  <c r="S194" i="5"/>
  <c r="T194" i="5" s="1"/>
  <c r="S195" i="5"/>
  <c r="T195" i="5" s="1"/>
  <c r="S196" i="5"/>
  <c r="T196" i="5" s="1"/>
  <c r="S197" i="5"/>
  <c r="T197" i="5" s="1"/>
  <c r="S198" i="5"/>
  <c r="T198" i="5" s="1"/>
  <c r="S199" i="5"/>
  <c r="T199" i="5" s="1"/>
  <c r="S200" i="5"/>
  <c r="T200" i="5" s="1"/>
  <c r="S201" i="5"/>
  <c r="T201" i="5" s="1"/>
  <c r="S202" i="5"/>
  <c r="T202" i="5" s="1"/>
  <c r="S203" i="5"/>
  <c r="T203" i="5" s="1"/>
  <c r="S204" i="5"/>
  <c r="T204" i="5" s="1"/>
  <c r="S205" i="5"/>
  <c r="T205" i="5" s="1"/>
  <c r="S206" i="5"/>
  <c r="T206" i="5" s="1"/>
  <c r="S207" i="5"/>
  <c r="S208" i="5"/>
  <c r="T208" i="5" s="1"/>
  <c r="S209" i="5"/>
  <c r="S210" i="5"/>
  <c r="T210" i="5" s="1"/>
  <c r="S211" i="5"/>
  <c r="S212" i="5"/>
  <c r="T212" i="5" s="1"/>
  <c r="S213" i="5"/>
  <c r="S214" i="5"/>
  <c r="T214" i="5" s="1"/>
  <c r="S215" i="5"/>
  <c r="S216" i="5"/>
  <c r="S217" i="5"/>
  <c r="S218" i="5"/>
  <c r="S219" i="5"/>
  <c r="S220" i="5"/>
  <c r="T16" i="5"/>
  <c r="T11" i="5"/>
  <c r="T21" i="5"/>
  <c r="T23" i="5"/>
  <c r="T24" i="5"/>
  <c r="T25" i="5"/>
  <c r="T26" i="5"/>
  <c r="T27" i="5"/>
  <c r="T28" i="5"/>
  <c r="T29" i="5"/>
  <c r="T39" i="5"/>
  <c r="T63" i="5"/>
  <c r="T65" i="5"/>
  <c r="T76" i="5"/>
  <c r="T87" i="5"/>
  <c r="T89" i="5"/>
  <c r="T93" i="5"/>
  <c r="T95" i="5"/>
  <c r="T96" i="5"/>
  <c r="T97" i="5"/>
  <c r="T98" i="5"/>
  <c r="T99" i="5"/>
  <c r="T111" i="5"/>
  <c r="T113" i="5"/>
  <c r="T135" i="5"/>
  <c r="T137" i="5"/>
  <c r="T147" i="5"/>
  <c r="T148" i="5"/>
  <c r="T149" i="5"/>
  <c r="T159" i="5"/>
  <c r="T161" i="5"/>
  <c r="T165" i="5"/>
  <c r="T167" i="5"/>
  <c r="T168" i="5"/>
  <c r="T183" i="5"/>
  <c r="T185" i="5"/>
  <c r="T189" i="5"/>
  <c r="T207" i="5"/>
  <c r="T209" i="5"/>
  <c r="T213" i="5"/>
  <c r="T215" i="5"/>
  <c r="T216" i="5"/>
  <c r="T217" i="5"/>
  <c r="T218" i="5"/>
  <c r="T219" i="5"/>
  <c r="T220" i="5"/>
  <c r="U10" i="5"/>
  <c r="V10" i="5" s="1"/>
  <c r="U12" i="5"/>
  <c r="V12" i="5" s="1"/>
  <c r="U13" i="5"/>
  <c r="V13" i="5" s="1"/>
  <c r="U14" i="5"/>
  <c r="V14" i="5" s="1"/>
  <c r="U15" i="5"/>
  <c r="V15" i="5" s="1"/>
  <c r="U16" i="5"/>
  <c r="V16" i="5" s="1"/>
  <c r="U17" i="5"/>
  <c r="V17" i="5" s="1"/>
  <c r="U11" i="5"/>
  <c r="V11" i="5" s="1"/>
  <c r="U18" i="5"/>
  <c r="V18" i="5" s="1"/>
  <c r="U19" i="5"/>
  <c r="U20" i="5"/>
  <c r="U21" i="5"/>
  <c r="U22" i="5"/>
  <c r="U23" i="5"/>
  <c r="U24" i="5"/>
  <c r="U25" i="5"/>
  <c r="U26" i="5"/>
  <c r="U27" i="5"/>
  <c r="U28" i="5"/>
  <c r="V28" i="5" s="1"/>
  <c r="U29" i="5"/>
  <c r="V29" i="5" s="1"/>
  <c r="U30" i="5"/>
  <c r="U31" i="5"/>
  <c r="U32" i="5"/>
  <c r="U33" i="5"/>
  <c r="U34" i="5"/>
  <c r="U35" i="5"/>
  <c r="U36" i="5"/>
  <c r="U37" i="5"/>
  <c r="V37" i="5" s="1"/>
  <c r="U38" i="5"/>
  <c r="V38" i="5" s="1"/>
  <c r="U39" i="5"/>
  <c r="V39" i="5" s="1"/>
  <c r="U40" i="5"/>
  <c r="V40" i="5" s="1"/>
  <c r="U41" i="5"/>
  <c r="V41" i="5" s="1"/>
  <c r="U42" i="5"/>
  <c r="V42" i="5" s="1"/>
  <c r="U43" i="5"/>
  <c r="U44" i="5"/>
  <c r="U45" i="5"/>
  <c r="U46" i="5"/>
  <c r="U47" i="5"/>
  <c r="U48" i="5"/>
  <c r="U49" i="5"/>
  <c r="U50" i="5"/>
  <c r="U51" i="5"/>
  <c r="V51" i="5" s="1"/>
  <c r="U52" i="5"/>
  <c r="V52" i="5" s="1"/>
  <c r="U53" i="5"/>
  <c r="V53" i="5" s="1"/>
  <c r="U54" i="5"/>
  <c r="U55" i="5"/>
  <c r="V55" i="5" s="1"/>
  <c r="U56" i="5"/>
  <c r="U57" i="5"/>
  <c r="U58" i="5"/>
  <c r="V58" i="5" s="1"/>
  <c r="U59" i="5"/>
  <c r="V59" i="5" s="1"/>
  <c r="U60" i="5"/>
  <c r="V60" i="5" s="1"/>
  <c r="U61" i="5"/>
  <c r="V61" i="5" s="1"/>
  <c r="U62" i="5"/>
  <c r="V62" i="5" s="1"/>
  <c r="U63" i="5"/>
  <c r="V63" i="5" s="1"/>
  <c r="U64" i="5"/>
  <c r="V64" i="5" s="1"/>
  <c r="U65" i="5"/>
  <c r="V65" i="5" s="1"/>
  <c r="U66" i="5"/>
  <c r="V66" i="5" s="1"/>
  <c r="U67" i="5"/>
  <c r="U68" i="5"/>
  <c r="U69" i="5"/>
  <c r="U70" i="5"/>
  <c r="V70" i="5" s="1"/>
  <c r="U71" i="5"/>
  <c r="V71" i="5" s="1"/>
  <c r="U72" i="5"/>
  <c r="U73" i="5"/>
  <c r="V73" i="5" s="1"/>
  <c r="U74" i="5"/>
  <c r="U75" i="5"/>
  <c r="V75" i="5" s="1"/>
  <c r="U76" i="5"/>
  <c r="V76" i="5" s="1"/>
  <c r="U77" i="5"/>
  <c r="V77" i="5" s="1"/>
  <c r="U78" i="5"/>
  <c r="U79" i="5"/>
  <c r="V79" i="5" s="1"/>
  <c r="U80" i="5"/>
  <c r="U81" i="5"/>
  <c r="V81" i="5" s="1"/>
  <c r="U82" i="5"/>
  <c r="V82" i="5" s="1"/>
  <c r="U83" i="5"/>
  <c r="V83" i="5" s="1"/>
  <c r="U84" i="5"/>
  <c r="V84" i="5" s="1"/>
  <c r="U85" i="5"/>
  <c r="V85" i="5" s="1"/>
  <c r="U86" i="5"/>
  <c r="V86" i="5" s="1"/>
  <c r="U87" i="5"/>
  <c r="V87" i="5" s="1"/>
  <c r="U88" i="5"/>
  <c r="V88" i="5" s="1"/>
  <c r="U89" i="5"/>
  <c r="V89" i="5" s="1"/>
  <c r="U90" i="5"/>
  <c r="V90" i="5" s="1"/>
  <c r="U91" i="5"/>
  <c r="U92" i="5"/>
  <c r="U93" i="5"/>
  <c r="U94" i="5"/>
  <c r="U95" i="5"/>
  <c r="U96" i="5"/>
  <c r="U97" i="5"/>
  <c r="V97" i="5" s="1"/>
  <c r="U98" i="5"/>
  <c r="U99" i="5"/>
  <c r="V99" i="5" s="1"/>
  <c r="U100" i="5"/>
  <c r="V100" i="5" s="1"/>
  <c r="U101" i="5"/>
  <c r="V101" i="5" s="1"/>
  <c r="U102" i="5"/>
  <c r="U103" i="5"/>
  <c r="V103" i="5" s="1"/>
  <c r="U104" i="5"/>
  <c r="U105" i="5"/>
  <c r="U106" i="5"/>
  <c r="V106" i="5" s="1"/>
  <c r="U107" i="5"/>
  <c r="V107" i="5" s="1"/>
  <c r="U108" i="5"/>
  <c r="V108" i="5" s="1"/>
  <c r="U109" i="5"/>
  <c r="V109" i="5" s="1"/>
  <c r="U110" i="5"/>
  <c r="V110" i="5" s="1"/>
  <c r="U111" i="5"/>
  <c r="V111" i="5" s="1"/>
  <c r="U112" i="5"/>
  <c r="V112" i="5" s="1"/>
  <c r="U113" i="5"/>
  <c r="V113" i="5" s="1"/>
  <c r="U114" i="5"/>
  <c r="V114" i="5" s="1"/>
  <c r="U115" i="5"/>
  <c r="U116" i="5"/>
  <c r="U117" i="5"/>
  <c r="U118" i="5"/>
  <c r="U119" i="5"/>
  <c r="U120" i="5"/>
  <c r="U121" i="5"/>
  <c r="U122" i="5"/>
  <c r="U123" i="5"/>
  <c r="U124" i="5"/>
  <c r="V124" i="5" s="1"/>
  <c r="U125" i="5"/>
  <c r="V125" i="5" s="1"/>
  <c r="U126" i="5"/>
  <c r="U127" i="5"/>
  <c r="V127" i="5" s="1"/>
  <c r="U128" i="5"/>
  <c r="U129" i="5"/>
  <c r="V129" i="5" s="1"/>
  <c r="U130" i="5"/>
  <c r="V130" i="5" s="1"/>
  <c r="U131" i="5"/>
  <c r="V131" i="5" s="1"/>
  <c r="U132" i="5"/>
  <c r="V132" i="5" s="1"/>
  <c r="U133" i="5"/>
  <c r="V133" i="5" s="1"/>
  <c r="U134" i="5"/>
  <c r="V134" i="5" s="1"/>
  <c r="U135" i="5"/>
  <c r="V135" i="5" s="1"/>
  <c r="U136" i="5"/>
  <c r="V136" i="5" s="1"/>
  <c r="U137" i="5"/>
  <c r="V137" i="5" s="1"/>
  <c r="U138" i="5"/>
  <c r="V138" i="5" s="1"/>
  <c r="U139" i="5"/>
  <c r="U140" i="5"/>
  <c r="U141" i="5"/>
  <c r="U142" i="5"/>
  <c r="U143" i="5"/>
  <c r="U144" i="5"/>
  <c r="U145" i="5"/>
  <c r="U146" i="5"/>
  <c r="U147" i="5"/>
  <c r="V147" i="5" s="1"/>
  <c r="U148" i="5"/>
  <c r="V148" i="5" s="1"/>
  <c r="U149" i="5"/>
  <c r="V149" i="5" s="1"/>
  <c r="U150" i="5"/>
  <c r="U151" i="5"/>
  <c r="V151" i="5" s="1"/>
  <c r="U152" i="5"/>
  <c r="U153" i="5"/>
  <c r="U154" i="5"/>
  <c r="V154" i="5" s="1"/>
  <c r="U155" i="5"/>
  <c r="V155" i="5" s="1"/>
  <c r="U156" i="5"/>
  <c r="V156" i="5" s="1"/>
  <c r="U157" i="5"/>
  <c r="V157" i="5" s="1"/>
  <c r="U158" i="5"/>
  <c r="V158" i="5" s="1"/>
  <c r="U159" i="5"/>
  <c r="V159" i="5" s="1"/>
  <c r="U160" i="5"/>
  <c r="V160" i="5" s="1"/>
  <c r="U161" i="5"/>
  <c r="V161" i="5" s="1"/>
  <c r="U162" i="5"/>
  <c r="V162" i="5" s="1"/>
  <c r="U163" i="5"/>
  <c r="U164" i="5"/>
  <c r="U165" i="5"/>
  <c r="U166" i="5"/>
  <c r="U167" i="5"/>
  <c r="U168" i="5"/>
  <c r="U169" i="5"/>
  <c r="U170" i="5"/>
  <c r="U171" i="5"/>
  <c r="U172" i="5"/>
  <c r="V172" i="5" s="1"/>
  <c r="U173" i="5"/>
  <c r="V173" i="5" s="1"/>
  <c r="U174" i="5"/>
  <c r="U175" i="5"/>
  <c r="V175" i="5" s="1"/>
  <c r="U176" i="5"/>
  <c r="U177" i="5"/>
  <c r="V177" i="5" s="1"/>
  <c r="U178" i="5"/>
  <c r="V178" i="5" s="1"/>
  <c r="U179" i="5"/>
  <c r="V179" i="5" s="1"/>
  <c r="U180" i="5"/>
  <c r="V180" i="5" s="1"/>
  <c r="U181" i="5"/>
  <c r="V181" i="5" s="1"/>
  <c r="U182" i="5"/>
  <c r="V182" i="5" s="1"/>
  <c r="U183" i="5"/>
  <c r="V183" i="5" s="1"/>
  <c r="U184" i="5"/>
  <c r="V184" i="5" s="1"/>
  <c r="U185" i="5"/>
  <c r="V185" i="5" s="1"/>
  <c r="U186" i="5"/>
  <c r="V186" i="5" s="1"/>
  <c r="U187" i="5"/>
  <c r="U188" i="5"/>
  <c r="U189" i="5"/>
  <c r="U190" i="5"/>
  <c r="U191" i="5"/>
  <c r="U192" i="5"/>
  <c r="U193" i="5"/>
  <c r="U194" i="5"/>
  <c r="U195" i="5"/>
  <c r="V195" i="5" s="1"/>
  <c r="U196" i="5"/>
  <c r="V196" i="5" s="1"/>
  <c r="U197" i="5"/>
  <c r="V197" i="5" s="1"/>
  <c r="U198" i="5"/>
  <c r="U199" i="5"/>
  <c r="V199" i="5" s="1"/>
  <c r="U200" i="5"/>
  <c r="U201" i="5"/>
  <c r="U202" i="5"/>
  <c r="U203" i="5"/>
  <c r="V203" i="5" s="1"/>
  <c r="U204" i="5"/>
  <c r="V204" i="5" s="1"/>
  <c r="U205" i="5"/>
  <c r="V205" i="5" s="1"/>
  <c r="U206" i="5"/>
  <c r="V206" i="5" s="1"/>
  <c r="U207" i="5"/>
  <c r="V207" i="5" s="1"/>
  <c r="U208" i="5"/>
  <c r="V208" i="5" s="1"/>
  <c r="U209" i="5"/>
  <c r="V209" i="5" s="1"/>
  <c r="U210" i="5"/>
  <c r="V210" i="5" s="1"/>
  <c r="U211" i="5"/>
  <c r="U212" i="5"/>
  <c r="U213" i="5"/>
  <c r="U214" i="5"/>
  <c r="V214" i="5" s="1"/>
  <c r="U215" i="5"/>
  <c r="V215" i="5" s="1"/>
  <c r="U216" i="5"/>
  <c r="U217" i="5"/>
  <c r="V217" i="5" s="1"/>
  <c r="U218" i="5"/>
  <c r="U219" i="5"/>
  <c r="U220" i="5"/>
  <c r="V220" i="5" s="1"/>
  <c r="V22" i="5"/>
  <c r="V23" i="5"/>
  <c r="V24" i="5"/>
  <c r="V25" i="5"/>
  <c r="V27" i="5"/>
  <c r="V31" i="5"/>
  <c r="V33" i="5"/>
  <c r="V34" i="5"/>
  <c r="V35" i="5"/>
  <c r="V36" i="5"/>
  <c r="V72" i="5"/>
  <c r="V118" i="5"/>
  <c r="V119" i="5"/>
  <c r="V120" i="5"/>
  <c r="V121" i="5"/>
  <c r="V123" i="5"/>
  <c r="V166" i="5"/>
  <c r="V167" i="5"/>
  <c r="V168" i="5"/>
  <c r="V169" i="5"/>
  <c r="V171" i="5"/>
  <c r="V216" i="5"/>
  <c r="V219" i="5"/>
  <c r="B4" i="5" a="1"/>
  <c r="B4" i="5" s="1"/>
  <c r="B3" i="5"/>
  <c r="V57" i="5" l="1"/>
  <c r="V193" i="5"/>
  <c r="V145" i="5"/>
  <c r="V49" i="5"/>
  <c r="V192" i="5"/>
  <c r="V96" i="5"/>
  <c r="V48" i="5"/>
  <c r="V47" i="5"/>
  <c r="T49" i="5"/>
  <c r="T48" i="5"/>
  <c r="T193" i="5"/>
  <c r="T47" i="5"/>
  <c r="V105" i="5"/>
  <c r="V153" i="5"/>
  <c r="T57" i="5"/>
  <c r="V191" i="5"/>
  <c r="V95" i="5"/>
  <c r="T192" i="5"/>
  <c r="T191" i="5"/>
  <c r="V200" i="5"/>
  <c r="V176" i="5"/>
  <c r="V152" i="5"/>
  <c r="V128" i="5"/>
  <c r="V104" i="5"/>
  <c r="V80" i="5"/>
  <c r="V56" i="5"/>
  <c r="V32" i="5"/>
  <c r="V102" i="5"/>
  <c r="V202" i="5"/>
  <c r="V174" i="5"/>
  <c r="V122" i="5"/>
  <c r="T153" i="5"/>
  <c r="V126" i="5"/>
  <c r="V146" i="5"/>
  <c r="V211" i="5"/>
  <c r="V187" i="5"/>
  <c r="V163" i="5"/>
  <c r="V139" i="5"/>
  <c r="V115" i="5"/>
  <c r="V91" i="5"/>
  <c r="V67" i="5"/>
  <c r="V43" i="5"/>
  <c r="V19" i="5"/>
  <c r="V150" i="5"/>
  <c r="T145" i="5"/>
  <c r="V218" i="5"/>
  <c r="V26" i="5"/>
  <c r="V30" i="5"/>
  <c r="V201" i="5"/>
  <c r="V170" i="5"/>
  <c r="V50" i="5"/>
  <c r="T105" i="5"/>
  <c r="V144" i="5"/>
  <c r="V143" i="5"/>
  <c r="V190" i="5"/>
  <c r="V142" i="5"/>
  <c r="V94" i="5"/>
  <c r="V46" i="5"/>
  <c r="V198" i="5"/>
  <c r="V54" i="5"/>
  <c r="V194" i="5"/>
  <c r="V74" i="5"/>
  <c r="V213" i="5"/>
  <c r="V189" i="5"/>
  <c r="V165" i="5"/>
  <c r="V141" i="5"/>
  <c r="V117" i="5"/>
  <c r="V93" i="5"/>
  <c r="V69" i="5"/>
  <c r="V45" i="5"/>
  <c r="V21" i="5"/>
  <c r="V78" i="5"/>
  <c r="V98" i="5"/>
  <c r="V212" i="5"/>
  <c r="V188" i="5"/>
  <c r="V164" i="5"/>
  <c r="V140" i="5"/>
  <c r="V116" i="5"/>
  <c r="V92" i="5"/>
  <c r="V68" i="5"/>
  <c r="V44" i="5"/>
  <c r="V20" i="5"/>
  <c r="T211" i="5"/>
  <c r="T187" i="5"/>
  <c r="T163" i="5"/>
  <c r="T139" i="5"/>
  <c r="T115" i="5"/>
  <c r="T91" i="5"/>
  <c r="T67" i="5"/>
  <c r="T43" i="5"/>
  <c r="T19" i="5"/>
  <c r="B6" i="5"/>
  <c r="B5" i="5"/>
  <c r="V7" i="5" l="1"/>
  <c r="B7" i="5"/>
  <c r="V6" i="5"/>
  <c r="V3" i="5" l="1"/>
  <c r="V4" i="5"/>
  <c r="V5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F264A06-AF8A-46CF-B712-C5889F24CF5F}" keepAlive="1" name="Query - Current_Usage_Unique" description="Connection to the 'Current_Usage_Unique' query in the workbook." type="5" refreshedVersion="0" background="1" saveData="1">
    <dbPr connection="Provider=Microsoft.Mashup.OleDb.1;Data Source=$Workbook$;Location=Current_Usage_Unique;Extended Properties=&quot;&quot;" command="SELECT * FROM [Current_Usage_Unique]"/>
  </connection>
  <connection id="2" xr16:uid="{A5970351-781D-4850-8718-17F17A318EA6}" keepAlive="1" name="Query - Cycle_Usage" description="Connection to the 'Cycle_Usage' query in the workbook." type="5" refreshedVersion="8" background="1" saveData="1">
    <dbPr connection="Provider=Microsoft.Mashup.OleDb.1;Data Source=$Workbook$;Location=Cycle_Usage;Extended Properties=&quot;&quot;" command="SELECT * FROM [Cycle_Usage]"/>
  </connection>
  <connection id="3" xr16:uid="{E90D4988-B034-46DA-8E43-77C34835C346}" keepAlive="1" name="Query - Cycle_Usage1" description="Connection to the 'Cycle_Usage' query in the workbook." type="5" refreshedVersion="8" background="1" saveData="1">
    <dbPr connection="Provider=Microsoft.Mashup.OleDb.1;Data Source=$Workbook$;Location=Cycle_Usage;Extended Properties=&quot;&quot;" command="SELECT * FROM [Cycle_Usage]"/>
  </connection>
  <connection id="4" xr16:uid="{C0D7E06A-0F34-4A55-940D-BCCECAE1E41D}" keepAlive="1" name="Query - Daily Reports_New" description="Connection to the 'Daily Reports_New' query in the workbook." type="5" refreshedVersion="0" background="1" saveData="1">
    <dbPr connection="Provider=Microsoft.Mashup.OleDb.1;Data Source=$Workbook$;Location=&quot;Daily Reports_New&quot;;Extended Properties=&quot;&quot;" command="SELECT * FROM [Daily Reports_New]"/>
  </connection>
  <connection id="5" xr16:uid="{07273518-7982-489C-8012-BB8CEE93D7FB}" keepAlive="1" name="Query - Dashboard_Query" description="Connection to the 'Dashboard_Query' query in the workbook." type="5" refreshedVersion="8" background="1" refreshOnLoad="1" saveData="1">
    <dbPr connection="Provider=Microsoft.Mashup.OleDb.1;Data Source=$Workbook$;Location=Dashboard_Query;Extended Properties=&quot;&quot;" command="SELECT * FROM [Dashboard_Query]"/>
  </connection>
  <connection id="6" xr16:uid="{BD676E65-56C9-4357-B80E-8CC54A5634F6}" keepAlive="1" name="Query - Orders_Query" description="Connection to the 'Orders_Query' query in the workbook." type="5" refreshedVersion="0" background="1">
    <dbPr connection="Provider=Microsoft.Mashup.OleDb.1;Data Source=$Workbook$;Location=Orders_Query;Extended Properties=&quot;&quot;" command="SELECT * FROM [Orders_Query]"/>
  </connection>
  <connection id="7" xr16:uid="{B410E926-C74D-493C-AF45-2336D14EF69F}" keepAlive="1" name="Query - Parameter2" description="Connection to the 'Parameter2' query in the workbook." type="5" refreshedVersion="0" background="1">
    <dbPr connection="Provider=Microsoft.Mashup.OleDb.1;Data Source=$Workbook$;Location=Parameter2;Extended Properties=&quot;&quot;" command="SELECT * FROM [Parameter2]"/>
  </connection>
  <connection id="8" xr16:uid="{045F67AB-8561-4FE4-A241-3E6A4E9794B7}" keepAlive="1" name="Query - Report_Date" description="Connection to the 'Report_Date' query in the workbook." type="5" refreshedVersion="8" background="1" saveData="1">
    <dbPr connection="Provider=Microsoft.Mashup.OleDb.1;Data Source=$Workbook$;Location=Report_Date;Extended Properties=&quot;&quot;" command="SELECT * FROM [Report_Date]"/>
  </connection>
  <connection id="9" xr16:uid="{08702A97-5016-4C34-9A41-8C0460AE624B}" keepAlive="1" name="Query - Sample File (2)" description="Connection to the 'Sample File (2)' query in the workbook." type="5" refreshedVersion="0" background="1">
    <dbPr connection="Provider=Microsoft.Mashup.OleDb.1;Data Source=$Workbook$;Location=&quot;Sample File (2)&quot;;Extended Properties=&quot;&quot;" command="SELECT * FROM [Sample File (2)]"/>
  </connection>
  <connection id="10" xr16:uid="{A76F1EFB-426A-465A-8F98-513EB19ACBCD}" keepAlive="1" name="Query - Transform File (2)" description="Connection to the 'Transform File (2)' query in the workbook." type="5" refreshedVersion="0" background="1">
    <dbPr connection="Provider=Microsoft.Mashup.OleDb.1;Data Source=$Workbook$;Location=&quot;Transform File (2)&quot;;Extended Properties=&quot;&quot;" command="SELECT * FROM [Transform File (2)]"/>
  </connection>
  <connection id="11" xr16:uid="{34AEAD67-2B8F-41F8-B07C-F11F88B3E8A7}" keepAlive="1" name="Query - Transform Sample File (2)" description="Connection to the 'Transform Sample File (2)' query in the workbook." type="5" refreshedVersion="0" background="1">
    <dbPr connection="Provider=Microsoft.Mashup.OleDb.1;Data Source=$Workbook$;Location=&quot;Transform Sample File (2)&quot;;Extended Properties=&quot;&quot;" command="SELECT * FROM [Transform Sample File (2)]"/>
  </connection>
  <connection id="12" xr16:uid="{F6BF1E81-6D04-4913-AD4B-B98DA3106E76}" keepAlive="1" name="Query - Usage_History" description="Connection to the 'Usage_History' query in the workbook." type="5" refreshedVersion="0" background="1" saveData="1">
    <dbPr connection="Provider=Microsoft.Mashup.OleDb.1;Data Source=$Workbook$;Location=Usage_History;Extended Properties=&quot;&quot;" command="SELECT * FROM [Usage_History]"/>
  </connection>
  <connection id="13" xr16:uid="{9FA07AD7-A2E9-4DDB-8FFC-95EEBE4AFD92}" keepAlive="1" name="Query - Usage_Lookup" description="Connection to the 'Usage_Lookup' query in the workbook." type="5" refreshedVersion="8" background="1" saveData="1">
    <dbPr connection="Provider=Microsoft.Mashup.OleDb.1;Data Source=$Workbook$;Location=Usage_Lookup;Extended Properties=&quot;&quot;" command="SELECT * FROM [Usage_Lookup]"/>
  </connection>
  <connection id="14" xr16:uid="{B4946343-E609-4161-955C-837EAC9645D5}" keepAlive="1" name="Query - Usage_Lookup1" description="Connection to the 'Usage_Lookup' query in the workbook." type="5" refreshedVersion="8" background="1" saveData="1">
    <dbPr connection="Provider=Microsoft.Mashup.OleDb.1;Data Source=$Workbook$;Location=Usage_Lookup;Extended Properties=&quot;&quot;" command="SELECT * FROM [Usage_Lookup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<sst xmlns="http://schemas.openxmlformats.org/spreadsheetml/2006/main" count="1903" uniqueCount="475">
  <si>
    <t>STARLINK RENTAL DASHBOARD</t>
  </si>
  <si>
    <t>Source.Name</t>
  </si>
  <si>
    <t>Text Between Delimiters</t>
  </si>
  <si>
    <t>Starlink Usage Report 7.20.26  - SmartSouce.xlsx</t>
  </si>
  <si>
    <t>Report Date</t>
  </si>
  <si>
    <t>Over Limit</t>
  </si>
  <si>
    <t>Active Kits</t>
  </si>
  <si>
    <t>Warning 80%</t>
  </si>
  <si>
    <t>Total Monthly Allowance</t>
  </si>
  <si>
    <t>Healthy</t>
  </si>
  <si>
    <t>Current Usage</t>
  </si>
  <si>
    <t>Total Overage GB</t>
  </si>
  <si>
    <t>Remaining GB</t>
  </si>
  <si>
    <t>Average Usage</t>
  </si>
  <si>
    <t>Kit</t>
  </si>
  <si>
    <t>Ecode</t>
  </si>
  <si>
    <t>Client</t>
  </si>
  <si>
    <t>ITSS Contact</t>
  </si>
  <si>
    <t>Contact Email</t>
  </si>
  <si>
    <t>Order Number</t>
  </si>
  <si>
    <t>Billing Start Date</t>
  </si>
  <si>
    <t>Cycle Start</t>
  </si>
  <si>
    <t>Next Cycle Date</t>
  </si>
  <si>
    <t>Days Until Reset</t>
  </si>
  <si>
    <t>Monthly Allowance</t>
  </si>
  <si>
    <t>Alerts Enabled</t>
  </si>
  <si>
    <t>Status</t>
  </si>
  <si>
    <t>Baseline Date</t>
  </si>
  <si>
    <t>Plan Amount</t>
  </si>
  <si>
    <t>Data Usage (GB)</t>
  </si>
  <si>
    <t>GB Remaining</t>
  </si>
  <si>
    <t>% Used</t>
  </si>
  <si>
    <t>%Remaining</t>
  </si>
  <si>
    <t>Overage</t>
  </si>
  <si>
    <t>Biling Status</t>
  </si>
  <si>
    <t>KIT4P00065630DZT</t>
  </si>
  <si>
    <t>Salyer Guard Station</t>
  </si>
  <si>
    <t>Bryan Lanning</t>
  </si>
  <si>
    <t>bryan.lanning@usda.gov</t>
  </si>
  <si>
    <t>Active</t>
  </si>
  <si>
    <t>KIT4P00065640BFW</t>
  </si>
  <si>
    <t>Ferris</t>
  </si>
  <si>
    <t>Andrew Goldman</t>
  </si>
  <si>
    <t>2026.Ferris.ITSS@firenet.gov</t>
  </si>
  <si>
    <t>KIT4M054137987GJ</t>
  </si>
  <si>
    <t>KIT4P0006563862J</t>
  </si>
  <si>
    <t>KIT4M05413771PVH</t>
  </si>
  <si>
    <t>Aspen Acres</t>
  </si>
  <si>
    <t>Calvin Moses</t>
  </si>
  <si>
    <t>2026.AspenAcres.ITSS@firenet.gov</t>
  </si>
  <si>
    <t>KIT4P00066070HN4</t>
  </si>
  <si>
    <t>KIT4M05413796V9K</t>
  </si>
  <si>
    <t>KIT4M05413828PCT</t>
  </si>
  <si>
    <t>KIT4P000655962DJ</t>
  </si>
  <si>
    <t>Claremont Fire</t>
  </si>
  <si>
    <t>Sharri Johnson</t>
  </si>
  <si>
    <t>2026.claremont.itss@firenet.gov</t>
  </si>
  <si>
    <t>KIT4M05413803FDK</t>
  </si>
  <si>
    <t>KIT4P00065641GDF</t>
  </si>
  <si>
    <t>KIT4M05563598Z74</t>
  </si>
  <si>
    <t>Anthony</t>
  </si>
  <si>
    <t>Brian Lamb</t>
  </si>
  <si>
    <t>2026.Anthony.ITSS@firenet.gov</t>
  </si>
  <si>
    <t>KIT4P00065612DJF</t>
  </si>
  <si>
    <t>2026 Fishlake Support</t>
  </si>
  <si>
    <t>Marlene Chapel</t>
  </si>
  <si>
    <t>UTRFC@firenet.gov</t>
  </si>
  <si>
    <t>KIT4M055635088NK</t>
  </si>
  <si>
    <t>KIT4P00065593VWC</t>
  </si>
  <si>
    <t>KIT4M05563529K2D</t>
  </si>
  <si>
    <t>KIT4M041546939GJ</t>
  </si>
  <si>
    <t>KIT4M055635779MM</t>
  </si>
  <si>
    <t>Claremont</t>
  </si>
  <si>
    <t>KIT4M03476116F45</t>
  </si>
  <si>
    <t>Deactivated</t>
  </si>
  <si>
    <t>KIT4M05563504MBB</t>
  </si>
  <si>
    <t>KIT4M0415609166K</t>
  </si>
  <si>
    <t>KIT4M05563571G8W</t>
  </si>
  <si>
    <t>KIT4P00066848VQM</t>
  </si>
  <si>
    <t>KIT4M05563584FVC</t>
  </si>
  <si>
    <t>KIT4M04158973M2C</t>
  </si>
  <si>
    <t>KIT4M05563585TXM</t>
  </si>
  <si>
    <t>KIT4P00065633ZXC</t>
  </si>
  <si>
    <t>KIT4M055635227ZR</t>
  </si>
  <si>
    <t>KIT4M02578775B9Q</t>
  </si>
  <si>
    <t>KIT4M05563528MKX</t>
  </si>
  <si>
    <t>KIT4P00065631CPZ</t>
  </si>
  <si>
    <t>KIT4M05563610HM2</t>
  </si>
  <si>
    <t>KIT4M04476539RJ5</t>
  </si>
  <si>
    <t>KIT4M055635834N7</t>
  </si>
  <si>
    <t>KIT4M05413821GGW</t>
  </si>
  <si>
    <t>KIT4M05563502GJS</t>
  </si>
  <si>
    <t>KIT4M03476114VCM</t>
  </si>
  <si>
    <t>KIT4M055635329VD</t>
  </si>
  <si>
    <t>KIT4M04158951RH6</t>
  </si>
  <si>
    <t>KIT4M05563573WKC</t>
  </si>
  <si>
    <t>KIT4M054138064J9</t>
  </si>
  <si>
    <t>KIT4M05563513GTF</t>
  </si>
  <si>
    <t>KIT4M03867766NGK</t>
  </si>
  <si>
    <t>KIT4M05563510TWC</t>
  </si>
  <si>
    <t>KIT4M05413782GHW</t>
  </si>
  <si>
    <t>KIT4M05563590ZFQ</t>
  </si>
  <si>
    <t>KIT4M05413783PFQ</t>
  </si>
  <si>
    <t>KIT4M05563579H9F</t>
  </si>
  <si>
    <t>KIT4M041536494G6</t>
  </si>
  <si>
    <t>KIT4M05563549RSR</t>
  </si>
  <si>
    <t>KIT4M05413802FVN</t>
  </si>
  <si>
    <t>Newton</t>
  </si>
  <si>
    <t>Jamie Chopp</t>
  </si>
  <si>
    <t>jamie.chopp@usda.gov</t>
  </si>
  <si>
    <t>KIT4M044751638F5</t>
  </si>
  <si>
    <t>KIT4P00066901JZZ</t>
  </si>
  <si>
    <t>Elk</t>
  </si>
  <si>
    <t>Chris Godat</t>
  </si>
  <si>
    <t>2026.Elk.ITSS@firenet.gov</t>
  </si>
  <si>
    <t>KIT4M05413810Q4Z</t>
  </si>
  <si>
    <t>KIT4M05413814GPJ</t>
  </si>
  <si>
    <t>SJF Preposition 2026</t>
  </si>
  <si>
    <t>andrew_goldman@firenet.gov</t>
  </si>
  <si>
    <t>KIT4M03866627GHD</t>
  </si>
  <si>
    <t>KIT4M05413777DGG</t>
  </si>
  <si>
    <t>KIT4M05413792H8C</t>
  </si>
  <si>
    <t>KIT4P00065644SB2</t>
  </si>
  <si>
    <t>Fishhook</t>
  </si>
  <si>
    <t>David Yim</t>
  </si>
  <si>
    <t>david_yim@firenet.gov</t>
  </si>
  <si>
    <t>KIT4M04158967K28</t>
  </si>
  <si>
    <t>KIT4M054138189C7</t>
  </si>
  <si>
    <t>KIT4M05413795QHK</t>
  </si>
  <si>
    <t>KIT4M03986275Q4M</t>
  </si>
  <si>
    <t>KIT4M05563533M9N</t>
  </si>
  <si>
    <t>KIT4M05563503XXP</t>
  </si>
  <si>
    <t>KIT4M03867737P9P</t>
  </si>
  <si>
    <t>KIT4P00072391SZM</t>
  </si>
  <si>
    <t>KIT4M05563514P8T</t>
  </si>
  <si>
    <t>KIT4M038677586ZX</t>
  </si>
  <si>
    <t>KIT4M05563509CHJ</t>
  </si>
  <si>
    <t>KIT4P00066915CBF</t>
  </si>
  <si>
    <t>KIT4M05563512GBQ</t>
  </si>
  <si>
    <t>KIT4M04475149XG5</t>
  </si>
  <si>
    <t>KIT4M05563524MJ4</t>
  </si>
  <si>
    <t>KIT4M0556358988Z</t>
  </si>
  <si>
    <t>KIT4M046047372KJ</t>
  </si>
  <si>
    <t>KIT4M05563606ZRC</t>
  </si>
  <si>
    <t>KIT4M05563518ZJD</t>
  </si>
  <si>
    <t>KIT4M04604744V6K</t>
  </si>
  <si>
    <t>Hay Creek</t>
  </si>
  <si>
    <t>Bill Mills / David Bishop</t>
  </si>
  <si>
    <t>Bill_Mills@firenet.gov; david_bishop@firenet.gov</t>
  </si>
  <si>
    <t>KIT4M05563551N6Q</t>
  </si>
  <si>
    <t>KIT4M054138324MW</t>
  </si>
  <si>
    <t>KIT4M0556351956H</t>
  </si>
  <si>
    <t>KIT4M04606110GTV</t>
  </si>
  <si>
    <t>KIT4M05368200MVF</t>
  </si>
  <si>
    <t>KIT4M05413769796</t>
  </si>
  <si>
    <t>KIT4M046047467T4</t>
  </si>
  <si>
    <t>KIT4M04604745G8Z</t>
  </si>
  <si>
    <t>KIT4M04475152RGR</t>
  </si>
  <si>
    <t>KIT4M05413784W4K</t>
  </si>
  <si>
    <t>KIT4M04475151HTP</t>
  </si>
  <si>
    <t>KIT4M04604736T7C</t>
  </si>
  <si>
    <t>KIT4M05413836KJC</t>
  </si>
  <si>
    <t>KIT4M05413805MKQ</t>
  </si>
  <si>
    <t>KIT4P000668852J9</t>
  </si>
  <si>
    <t>KIT4M04604743HSS</t>
  </si>
  <si>
    <t>KIT4M05413776H84</t>
  </si>
  <si>
    <t>KIT4M05413772977</t>
  </si>
  <si>
    <t>KIT4M05563526WNC</t>
  </si>
  <si>
    <t>KIT4M0460475549Z</t>
  </si>
  <si>
    <t>KIT4M05368219KRH</t>
  </si>
  <si>
    <t>KIT4M05413816N8K</t>
  </si>
  <si>
    <t>KIT4M05413811F4Q</t>
  </si>
  <si>
    <t>KIT4M04475128THH</t>
  </si>
  <si>
    <t>KIT4M05413840D9J</t>
  </si>
  <si>
    <t>KIT4M05368213974</t>
  </si>
  <si>
    <t>KIT4M05413773R6G</t>
  </si>
  <si>
    <t>KIT4M05413837SMB</t>
  </si>
  <si>
    <t>KIT4M04606113TPB</t>
  </si>
  <si>
    <t>KIT4M05368206BZP</t>
  </si>
  <si>
    <t>KIT4M05368194X6V</t>
  </si>
  <si>
    <t>KIT4M046047397TM</t>
  </si>
  <si>
    <t>KIT4M05413774JZX</t>
  </si>
  <si>
    <t>KIT4M03986264P49</t>
  </si>
  <si>
    <t>KIT4M025787739XF</t>
  </si>
  <si>
    <t>KIT4M05413770WCC</t>
  </si>
  <si>
    <t>KIT4M04350554X4Z</t>
  </si>
  <si>
    <t>KIT4M03866596RZG</t>
  </si>
  <si>
    <t>KIT4M054138249M8</t>
  </si>
  <si>
    <t>KIT4M04475159PMD</t>
  </si>
  <si>
    <t>KIT4M046047384RX</t>
  </si>
  <si>
    <t>KIT4M05413794SSC</t>
  </si>
  <si>
    <t>KIT4M04604741P2X</t>
  </si>
  <si>
    <t>KIT4M04604740BM6</t>
  </si>
  <si>
    <t>KIT4M05413780XFH</t>
  </si>
  <si>
    <t>KIT4M04604747TPT</t>
  </si>
  <si>
    <t>KIT4M04604742S6S</t>
  </si>
  <si>
    <t>KIT4M05413789Z8C</t>
  </si>
  <si>
    <t>KIT4M04604734ZZX</t>
  </si>
  <si>
    <t>Section Three Pond</t>
  </si>
  <si>
    <t>KIT4M05413813HSJ</t>
  </si>
  <si>
    <t>KIT4M03867749CW5</t>
  </si>
  <si>
    <t>KIT4M054138007JF</t>
  </si>
  <si>
    <t>KIT4M05413839D24</t>
  </si>
  <si>
    <t>KIT4M05413809J58</t>
  </si>
  <si>
    <t>KIT4M05413820QXJ</t>
  </si>
  <si>
    <t>KIT4M054138175VJ</t>
  </si>
  <si>
    <t>KIT4M054138125NW</t>
  </si>
  <si>
    <t>KIT4M05413804SKS</t>
  </si>
  <si>
    <t>KIT4M05413823B5P</t>
  </si>
  <si>
    <t>KIT4M05413779VSD</t>
  </si>
  <si>
    <t>KIT4M054137938P7</t>
  </si>
  <si>
    <t>KIT4M05413830JN7</t>
  </si>
  <si>
    <t>CY26 MNCC IA Dispatch</t>
  </si>
  <si>
    <t>Michael Mackey</t>
  </si>
  <si>
    <t>michael_mackey@firenet.gov</t>
  </si>
  <si>
    <t>KIT4M05413785QCG</t>
  </si>
  <si>
    <t>KIT4M054138257Z7</t>
  </si>
  <si>
    <t>KIT4M05413801QJB</t>
  </si>
  <si>
    <t>KIT4M05413826Z6Z</t>
  </si>
  <si>
    <t>KIT4M05413781K6C</t>
  </si>
  <si>
    <t>KIT4M054137885SM</t>
  </si>
  <si>
    <t>KIT4M05413835RPF</t>
  </si>
  <si>
    <t>KIT4M054138222CP</t>
  </si>
  <si>
    <t>North Cayuse</t>
  </si>
  <si>
    <t xml:space="preserve">  Brian Lamb</t>
  </si>
  <si>
    <t>Shelby_Glass@firenet.gov</t>
  </si>
  <si>
    <t>KIT4M054137997HR</t>
  </si>
  <si>
    <t>KIT4M05368220FG8</t>
  </si>
  <si>
    <t>KIT4M05413797HK5</t>
  </si>
  <si>
    <t>KIT4M05368340DMZ</t>
  </si>
  <si>
    <t>KIT4M05413827DC4</t>
  </si>
  <si>
    <t>KIT4M05413819JV5</t>
  </si>
  <si>
    <t>KIT4M05368201SNV</t>
  </si>
  <si>
    <t>KIT4M054138292ZP</t>
  </si>
  <si>
    <t>Camp</t>
  </si>
  <si>
    <t>KIT4M05413778RBR</t>
  </si>
  <si>
    <t>KIT4M05368336DBC</t>
  </si>
  <si>
    <t>KIT4M05413790XCD</t>
  </si>
  <si>
    <t>KIT4M053683324KZ</t>
  </si>
  <si>
    <t>KIT4M05413775N9M</t>
  </si>
  <si>
    <t>KIT4M05413791FK5</t>
  </si>
  <si>
    <t>KIT4M05368226W57</t>
  </si>
  <si>
    <t>KIT4M05368221HQ5</t>
  </si>
  <si>
    <t>KIT4P000739257CR</t>
  </si>
  <si>
    <t>KIT4M055635158PC</t>
  </si>
  <si>
    <t>Egypt</t>
  </si>
  <si>
    <t>Billy Padgett</t>
  </si>
  <si>
    <t xml:space="preserve">2026.Egypt.ITSS@firenet.gov </t>
  </si>
  <si>
    <t>KIT4M05563586ZTR</t>
  </si>
  <si>
    <t>KIT4M05563517BVR</t>
  </si>
  <si>
    <t>KIT4P00073922FPF</t>
  </si>
  <si>
    <t>KIT4P000739124KF</t>
  </si>
  <si>
    <t>KIT4M05563511FF4</t>
  </si>
  <si>
    <t>KIT4M05563531XSB</t>
  </si>
  <si>
    <t>KIT4P00073915XX6</t>
  </si>
  <si>
    <t>KIT4P0007258645B</t>
  </si>
  <si>
    <t>KIT4M055635305RS</t>
  </si>
  <si>
    <t>KIT4M05413787HHK</t>
  </si>
  <si>
    <t>KIT4M055635238J6</t>
  </si>
  <si>
    <t>KIT4M05563554WCW</t>
  </si>
  <si>
    <t>KIT4M0541381584X</t>
  </si>
  <si>
    <t>KIT4M05563505WPS</t>
  </si>
  <si>
    <t>KIT4M055635979XD</t>
  </si>
  <si>
    <t>KIT4M055635887MK</t>
  </si>
  <si>
    <t>KIT4M05563603CP4</t>
  </si>
  <si>
    <t>KIT4M05563562F45</t>
  </si>
  <si>
    <t>KIT4M05563527J4C</t>
  </si>
  <si>
    <t>KIT4M054138318Q7</t>
  </si>
  <si>
    <t>KIT4M05563538RZV</t>
  </si>
  <si>
    <t>KIT4M05563521ZSX</t>
  </si>
  <si>
    <t>KIT4M05563520SH2</t>
  </si>
  <si>
    <t>KIT4M054138074NS</t>
  </si>
  <si>
    <t>KIT4M05563548P9Q</t>
  </si>
  <si>
    <t>KIT4M055635475JB</t>
  </si>
  <si>
    <t>KIT4M05413834FTH</t>
  </si>
  <si>
    <t>KIT4M05563560225</t>
  </si>
  <si>
    <t>KIT4M0556355588P</t>
  </si>
  <si>
    <t>KIT4M05563574ZBN</t>
  </si>
  <si>
    <t>KIT4P00073957GV5</t>
  </si>
  <si>
    <t>KIT4P00073954DZ8</t>
  </si>
  <si>
    <t>KIT4P00073152MPN</t>
  </si>
  <si>
    <t>KIT4M05563536BPJ</t>
  </si>
  <si>
    <t>KIT4M05413808FFZ</t>
  </si>
  <si>
    <t>KIT4P00073918HBX</t>
  </si>
  <si>
    <t>KIT4M05563534GZ7</t>
  </si>
  <si>
    <t>KIT4M05563525VC6</t>
  </si>
  <si>
    <t>KIT4M05563537G4G</t>
  </si>
  <si>
    <t>KIT4M05413786BXC</t>
  </si>
  <si>
    <t>KIT4M05563593DMC</t>
  </si>
  <si>
    <t>KIT4M03986267RWH</t>
  </si>
  <si>
    <t>2026 Great American State Fair</t>
  </si>
  <si>
    <t>Keith O'Loughlin</t>
  </si>
  <si>
    <t>keith.oloughlin@usda.gov</t>
  </si>
  <si>
    <t xml:space="preserve"> KIT4P00066070HN4</t>
  </si>
  <si>
    <t xml:space="preserve"> KIT4P000655962DJ</t>
  </si>
  <si>
    <t xml:space="preserve"> KIT4P00065612DJF</t>
  </si>
  <si>
    <t xml:space="preserve"> KIT4P00065593VWC</t>
  </si>
  <si>
    <t xml:space="preserve"> KIT4M041546939GJ</t>
  </si>
  <si>
    <t xml:space="preserve"> KIT4M03476116F45</t>
  </si>
  <si>
    <t xml:space="preserve"> KIT4M0415609166K</t>
  </si>
  <si>
    <t xml:space="preserve"> KIT4M04158973M2C</t>
  </si>
  <si>
    <t xml:space="preserve"> KIT4M02578775B9Q</t>
  </si>
  <si>
    <t xml:space="preserve"> KIT4M04476539RJ5</t>
  </si>
  <si>
    <t xml:space="preserve"> KIT4M03476114VCM</t>
  </si>
  <si>
    <t xml:space="preserve"> KIT4M04158951RH6</t>
  </si>
  <si>
    <t xml:space="preserve"> KIT4M03867766NGK</t>
  </si>
  <si>
    <t xml:space="preserve"> KIT4M03986267RWH</t>
  </si>
  <si>
    <t xml:space="preserve"> KIT4M041536494G6</t>
  </si>
  <si>
    <t xml:space="preserve"> KIT4M044751638F5</t>
  </si>
  <si>
    <t xml:space="preserve"> KIT4M03866627GHD</t>
  </si>
  <si>
    <t xml:space="preserve"> KIT4M04158967K28</t>
  </si>
  <si>
    <t xml:space="preserve"> KIT4M03986275Q4M</t>
  </si>
  <si>
    <t xml:space="preserve"> KIT4M03867737P9P</t>
  </si>
  <si>
    <t xml:space="preserve"> KIT4M038677586ZX</t>
  </si>
  <si>
    <t xml:space="preserve"> KIT4M04475149XG5</t>
  </si>
  <si>
    <t xml:space="preserve"> KIT4M046047372KJ</t>
  </si>
  <si>
    <t xml:space="preserve"> KIT4M04604744V6K</t>
  </si>
  <si>
    <t xml:space="preserve"> KIT4M04606110GTV</t>
  </si>
  <si>
    <t xml:space="preserve"> KIT4M04604745G8Z</t>
  </si>
  <si>
    <t xml:space="preserve"> KIT4M04604736T7C</t>
  </si>
  <si>
    <t xml:space="preserve"> KIT4M04604743HSS</t>
  </si>
  <si>
    <t xml:space="preserve"> KIT4M0460475549Z</t>
  </si>
  <si>
    <t xml:space="preserve"> KIT4M04475128THH</t>
  </si>
  <si>
    <t xml:space="preserve"> KIT4M04475152RGR</t>
  </si>
  <si>
    <t xml:space="preserve"> KIT4M04606113TPB</t>
  </si>
  <si>
    <t xml:space="preserve"> KIT4M046047397TM</t>
  </si>
  <si>
    <t xml:space="preserve"> KIT4M025787739XF</t>
  </si>
  <si>
    <t xml:space="preserve"> KIT4M046047467T4</t>
  </si>
  <si>
    <t xml:space="preserve"> KIT4M04350554X4Z</t>
  </si>
  <si>
    <t xml:space="preserve"> KIT4M04475151HTP</t>
  </si>
  <si>
    <t xml:space="preserve"> KIT4M04475159PMD</t>
  </si>
  <si>
    <t xml:space="preserve"> KIT4M03866596RZG</t>
  </si>
  <si>
    <t xml:space="preserve"> KIT4M046047384RX</t>
  </si>
  <si>
    <t xml:space="preserve"> KIT4M04604741P2X</t>
  </si>
  <si>
    <t xml:space="preserve"> KIT4M04604740BM6</t>
  </si>
  <si>
    <t xml:space="preserve"> KIT4M04604747TPT</t>
  </si>
  <si>
    <t xml:space="preserve"> KIT4M04604742S6S</t>
  </si>
  <si>
    <t xml:space="preserve"> KIT4M03986264P49</t>
  </si>
  <si>
    <t xml:space="preserve"> KIT4M04604734ZZX</t>
  </si>
  <si>
    <t xml:space="preserve"> KIT4M03867749CW5</t>
  </si>
  <si>
    <t xml:space="preserve"> KIT4M05413839D24</t>
  </si>
  <si>
    <t xml:space="preserve"> KIT4M05413836KJC</t>
  </si>
  <si>
    <t xml:space="preserve"> KIT4M05413820QXJ</t>
  </si>
  <si>
    <t xml:space="preserve"> KIT4M05413840D9J</t>
  </si>
  <si>
    <t xml:space="preserve"> KIT4M05413804SKS</t>
  </si>
  <si>
    <t xml:space="preserve"> KIT4M05413779VSD</t>
  </si>
  <si>
    <t xml:space="preserve"> KIT4M05413811F4Q</t>
  </si>
  <si>
    <t xml:space="preserve"> KIT4M05413830JN7</t>
  </si>
  <si>
    <t xml:space="preserve"> KIT4M054138257Z7</t>
  </si>
  <si>
    <t xml:space="preserve"> KIT4M05368194X6V</t>
  </si>
  <si>
    <t xml:space="preserve"> KIT4M05368206BZP</t>
  </si>
  <si>
    <t xml:space="preserve"> KIT4M05368219KRH</t>
  </si>
  <si>
    <t xml:space="preserve"> KIT4M05368220FG8</t>
  </si>
  <si>
    <t xml:space="preserve"> KIT4M05368340DMZ</t>
  </si>
  <si>
    <t xml:space="preserve"> KIT4M05368200MVF</t>
  </si>
  <si>
    <t xml:space="preserve"> KIT4M05368336DBC</t>
  </si>
  <si>
    <t xml:space="preserve"> KIT4M053683324KZ</t>
  </si>
  <si>
    <t xml:space="preserve"> KIT4M05368221HQ5</t>
  </si>
  <si>
    <t xml:space="preserve"> KIT4M054138292ZP</t>
  </si>
  <si>
    <t xml:space="preserve"> KIT4M05413819JV5</t>
  </si>
  <si>
    <t xml:space="preserve"> KIT4M05413813HSJ</t>
  </si>
  <si>
    <t xml:space="preserve"> KIT4M05413781K6C</t>
  </si>
  <si>
    <t xml:space="preserve"> KIT4M05413777DGG</t>
  </si>
  <si>
    <t xml:space="preserve"> KIT4M05413792H8C</t>
  </si>
  <si>
    <t xml:space="preserve"> KIT4M05413826Z6Z</t>
  </si>
  <si>
    <t xml:space="preserve"> KIT4M05413809J58</t>
  </si>
  <si>
    <t xml:space="preserve"> KIT4M05413785QCG</t>
  </si>
  <si>
    <t xml:space="preserve"> KIT4M05413773R6G</t>
  </si>
  <si>
    <t xml:space="preserve"> KIT4M05413797HK5</t>
  </si>
  <si>
    <t xml:space="preserve"> KIT4M05413787HHK</t>
  </si>
  <si>
    <t xml:space="preserve"> KIT4M0541381584X</t>
  </si>
  <si>
    <t xml:space="preserve"> KIT4M054138222CP</t>
  </si>
  <si>
    <t xml:space="preserve"> KIT4M05413814GPJ</t>
  </si>
  <si>
    <t xml:space="preserve"> KIT4M054138318Q7</t>
  </si>
  <si>
    <t xml:space="preserve"> KIT4M05413810Q4Z</t>
  </si>
  <si>
    <t xml:space="preserve"> KIT4M054138074NS</t>
  </si>
  <si>
    <t xml:space="preserve"> KIT4M05413775N9M</t>
  </si>
  <si>
    <t xml:space="preserve"> KIT4M05413770WCC</t>
  </si>
  <si>
    <t xml:space="preserve"> KIT4M05413784W4K</t>
  </si>
  <si>
    <t xml:space="preserve"> KIT4M054138175VJ</t>
  </si>
  <si>
    <t xml:space="preserve"> KIT4M05413801QJB</t>
  </si>
  <si>
    <t xml:space="preserve"> KIT4M054137997HR</t>
  </si>
  <si>
    <t xml:space="preserve"> KIT4M054138125NW</t>
  </si>
  <si>
    <t xml:space="preserve"> KIT4M05413835RPF </t>
  </si>
  <si>
    <t xml:space="preserve"> KIT4M05413827DC4</t>
  </si>
  <si>
    <t xml:space="preserve"> KIT4M05413821GGW</t>
  </si>
  <si>
    <t xml:space="preserve"> KIT4M054138189C7</t>
  </si>
  <si>
    <t xml:space="preserve"> KIT4M05413816N8K</t>
  </si>
  <si>
    <t xml:space="preserve"> KIT4M05413780XFH</t>
  </si>
  <si>
    <t xml:space="preserve"> KIT4M05413782GHW</t>
  </si>
  <si>
    <t xml:space="preserve"> KIT4M05413774JZX</t>
  </si>
  <si>
    <t xml:space="preserve"> KIT4M05413823B5P</t>
  </si>
  <si>
    <t xml:space="preserve"> KIT4M05413786BXC</t>
  </si>
  <si>
    <t xml:space="preserve"> KIT4M05413769796</t>
  </si>
  <si>
    <t xml:space="preserve"> KIT4M05413789Z8C</t>
  </si>
  <si>
    <t xml:space="preserve"> KIT4M05413772977</t>
  </si>
  <si>
    <t xml:space="preserve"> KIT4M05413791FK5</t>
  </si>
  <si>
    <t xml:space="preserve"> KIT4M05413778RBR</t>
  </si>
  <si>
    <t xml:space="preserve"> KIT4M054138064J9</t>
  </si>
  <si>
    <t xml:space="preserve"> KIT4M05413783PFQ</t>
  </si>
  <si>
    <t xml:space="preserve"> KIT4M05413794SSC</t>
  </si>
  <si>
    <t xml:space="preserve"> KIT4M054137938P7</t>
  </si>
  <si>
    <t xml:space="preserve"> KIT4M05413805MKQ</t>
  </si>
  <si>
    <t xml:space="preserve"> 	KIT4P00066915CBF</t>
  </si>
  <si>
    <t xml:space="preserve"> KIT4P00065633ZXC</t>
  </si>
  <si>
    <t xml:space="preserve"> KIT4P00066848VQM</t>
  </si>
  <si>
    <t xml:space="preserve"> KIT4P00065641GDF</t>
  </si>
  <si>
    <t xml:space="preserve"> KIT4P00066901JZZ</t>
  </si>
  <si>
    <t xml:space="preserve"> KIT4P0006563862J</t>
  </si>
  <si>
    <t xml:space="preserve"> KIT4P00065644SB2</t>
  </si>
  <si>
    <t xml:space="preserve"> KIT4P00065640BFW</t>
  </si>
  <si>
    <t xml:space="preserve"> KIT4P00065631CPZ</t>
  </si>
  <si>
    <t xml:space="preserve"> KIT4M05563503XXP</t>
  </si>
  <si>
    <t xml:space="preserve"> KIT4M05563509CHJ</t>
  </si>
  <si>
    <t xml:space="preserve"> KIT4M05563513GTF</t>
  </si>
  <si>
    <t xml:space="preserve"> KIT4M05563510TWC</t>
  </si>
  <si>
    <t xml:space="preserve"> KIT4M055635088NK</t>
  </si>
  <si>
    <t xml:space="preserve"> KIT4M05563512GBQ</t>
  </si>
  <si>
    <t xml:space="preserve"> KIT4M05563514P8T</t>
  </si>
  <si>
    <t xml:space="preserve"> KIT4M05563511FF4</t>
  </si>
  <si>
    <t xml:space="preserve"> KIT4M05563517BVR</t>
  </si>
  <si>
    <t xml:space="preserve"> KIT4M05563584FVC</t>
  </si>
  <si>
    <t xml:space="preserve"> KIT4M055635305RS</t>
  </si>
  <si>
    <t xml:space="preserve"> KIT4M055635979XD</t>
  </si>
  <si>
    <t xml:space="preserve"> KIT4M05563562F45</t>
  </si>
  <si>
    <t xml:space="preserve"> KIT4M05563554WCW</t>
  </si>
  <si>
    <t xml:space="preserve"> KIT4M05563586ZTR</t>
  </si>
  <si>
    <t xml:space="preserve"> KIT4M055635887MK</t>
  </si>
  <si>
    <t xml:space="preserve"> KIT4M05563603CP4</t>
  </si>
  <si>
    <t xml:space="preserve"> KIT4M05563505WPS</t>
  </si>
  <si>
    <t xml:space="preserve"> KIT4M055635238J6</t>
  </si>
  <si>
    <t xml:space="preserve"> KIT4M05563551N6Q</t>
  </si>
  <si>
    <t xml:space="preserve"> KIT4M05563518ZJD</t>
  </si>
  <si>
    <t xml:space="preserve"> KIT4M05563527J4C</t>
  </si>
  <si>
    <t xml:space="preserve"> KIT4M05563574ZBN</t>
  </si>
  <si>
    <t xml:space="preserve"> KIT4M05563560225</t>
  </si>
  <si>
    <t xml:space="preserve"> KIT4M0556355588P</t>
  </si>
  <si>
    <t xml:space="preserve"> KIT4M055635158PC</t>
  </si>
  <si>
    <t xml:space="preserve"> KIT4M05563538RZV</t>
  </si>
  <si>
    <t xml:space="preserve"> KIT4M05563504MBB</t>
  </si>
  <si>
    <t xml:space="preserve"> KIT4M05563590ZFQ</t>
  </si>
  <si>
    <t xml:space="preserve"> KIT4M055635834N7</t>
  </si>
  <si>
    <t xml:space="preserve"> KIT4M05563606ZRC</t>
  </si>
  <si>
    <t xml:space="preserve"> KIT4M055635475JB</t>
  </si>
  <si>
    <t xml:space="preserve"> KIT4M05563536BPJ</t>
  </si>
  <si>
    <t xml:space="preserve"> KIT4M05563548P9Q</t>
  </si>
  <si>
    <t xml:space="preserve"> KIT4M05563531XSB</t>
  </si>
  <si>
    <t xml:space="preserve"> KIT4M05563502GJS</t>
  </si>
  <si>
    <t xml:space="preserve"> KIT4M05563528MKX</t>
  </si>
  <si>
    <t xml:space="preserve"> KIT4M05563524MJ4</t>
  </si>
  <si>
    <t xml:space="preserve"> KIT4M05563598Z74</t>
  </si>
  <si>
    <t xml:space="preserve"> KIT4M05563585TXM</t>
  </si>
  <si>
    <t xml:space="preserve"> KIT4M05563521ZSX</t>
  </si>
  <si>
    <t xml:space="preserve"> KIT4M0556351956H</t>
  </si>
  <si>
    <t xml:space="preserve"> KIT4M05563520SH2</t>
  </si>
  <si>
    <t xml:space="preserve"> KIT4M055635329VD</t>
  </si>
  <si>
    <t xml:space="preserve"> KIT4M05563579H9F</t>
  </si>
  <si>
    <t xml:space="preserve"> KIT4M05563571G8W</t>
  </si>
  <si>
    <t xml:space="preserve"> KIT4M055635227ZR</t>
  </si>
  <si>
    <t xml:space="preserve"> KIT4M05563549RSR</t>
  </si>
  <si>
    <t xml:space="preserve"> KIT4M0556358988Z</t>
  </si>
  <si>
    <t xml:space="preserve"> KIT4M05563533M9N</t>
  </si>
  <si>
    <t xml:space="preserve"> KIT4M05563610HM2</t>
  </si>
  <si>
    <t xml:space="preserve"> KIT4M055635779MM</t>
  </si>
  <si>
    <t xml:space="preserve"> KIT4M05563573WKC</t>
  </si>
  <si>
    <t xml:space="preserve"> KIT4P00072391SZM</t>
  </si>
  <si>
    <t xml:space="preserve"> KIT4P00073152MPN</t>
  </si>
  <si>
    <t xml:space="preserve"> KIT4P0007258645B</t>
  </si>
  <si>
    <t xml:space="preserve"> KIT4P000739257CR</t>
  </si>
  <si>
    <t xml:space="preserve"> KIT4P000739124KF</t>
  </si>
  <si>
    <t xml:space="preserve"> KIT4P00073922FPF</t>
  </si>
  <si>
    <t xml:space="preserve"> KIT4P00073957GV5</t>
  </si>
  <si>
    <t xml:space="preserve"> KIT4P00073954DZ8</t>
  </si>
  <si>
    <t xml:space="preserve"> KIT4P00073918HBX</t>
  </si>
  <si>
    <t>Deactivated Kits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</si>
</sst>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Carlito"/>
    </font>
    <font>
      <sz val="11"/>
      <name val="Carlito"/>
    </font>
    <font>
      <sz val="8"/>
      <name val="Carlito"/>
    </font>
    <font>
      <u/>
      <sz val="11"/>
      <color theme="10"/>
      <name val="Carlito"/>
    </font>
    <font>
      <sz val="11"/>
      <color rgb="FF000000"/>
      <name val="Aptos Narrow"/>
      <family val="2"/>
    </font>
    <font>
      <b/>
      <sz val="18"/>
      <color theme="1"/>
      <name val="Carlito"/>
    </font>
    <font>
      <b/>
      <u/>
      <sz val="18"/>
      <color theme="1"/>
      <name val="Carlito"/>
    </font>
    <font>
      <sz val="12"/>
      <name val="Carlito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1"/>
    <xf numFmtId="9" fontId="1" fillId="0" borderId="0" applyFont="0" applyFill="0" applyBorder="0" applyAlignment="0" applyProtection="0"/>
    <xf numFmtId="0" fontId="3" fillId="0" borderId="1" applyNumberFormat="0" applyFill="0" applyBorder="0" applyAlignment="0" applyProtection="0"/>
  </cellStyleXfs>
  <cellXfs count="43">
    <xf numFmtId="0" fontId="0" fillId="0" borderId="0" xfId="0" applyBorder="1"/>
    <xf numFmtId="0" fontId="0" fillId="0" borderId="2" xfId="0" applyBorder="1"/>
    <xf numFmtId="0" fontId="0" fillId="0" borderId="2" xfId="0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3" fillId="0" borderId="2" xfId="2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9" fontId="0" fillId="0" borderId="2" xfId="1" applyFont="1" applyBorder="1" applyAlignment="1">
      <alignment horizontal="center" vertical="center"/>
    </xf>
    <xf numFmtId="9" fontId="0" fillId="0" borderId="0" xfId="1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4" fontId="0" fillId="0" borderId="4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9" fontId="0" fillId="0" borderId="5" xfId="1" applyFont="1" applyBorder="1" applyAlignment="1">
      <alignment horizontal="center" vertical="center"/>
    </xf>
    <xf numFmtId="9" fontId="0" fillId="0" borderId="6" xfId="1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9" xfId="1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4" fontId="0" fillId="0" borderId="3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0" fillId="0" borderId="3" xfId="1" applyNumberFormat="1" applyFont="1" applyBorder="1" applyAlignment="1">
      <alignment horizontal="center" vertical="center"/>
    </xf>
    <xf numFmtId="2" fontId="0" fillId="0" borderId="3" xfId="1" applyNumberFormat="1" applyFont="1" applyBorder="1" applyAlignment="1">
      <alignment horizontal="center" vertical="center"/>
    </xf>
    <xf numFmtId="9" fontId="0" fillId="0" borderId="3" xfId="1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9" fontId="7" fillId="0" borderId="2" xfId="1" applyFont="1" applyBorder="1" applyAlignment="1">
      <alignment horizontal="center" vertical="center"/>
    </xf>
    <xf numFmtId="0" fontId="8" fillId="0" borderId="2" xfId="0" applyFont="1" applyBorder="1" applyAlignment="1">
      <alignment horizontal="center"/>
    </xf>
    <xf numFmtId="14" fontId="7" fillId="0" borderId="2" xfId="0" applyNumberFormat="1" applyFont="1" applyBorder="1" applyAlignment="1">
      <alignment horizontal="center" vertical="center"/>
    </xf>
    <xf numFmtId="14" fontId="0" fillId="0" borderId="2" xfId="0" applyNumberFormat="1" applyBorder="1"/>
    <xf numFmtId="0" fontId="9" fillId="0" borderId="2" xfId="0" applyFont="1" applyBorder="1" applyAlignment="1">
      <alignment horizontal="center" vertical="center"/>
    </xf>
    <xf numFmtId="0" fontId="9" fillId="0" borderId="2" xfId="0" applyFont="1" applyBorder="1"/>
    <xf numFmtId="0" fontId="8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center"/>
    </xf>
    <xf numFmtId="14" fontId="9" fillId="0" borderId="2" xfId="0" applyNumberFormat="1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 wrapText="1"/>
    </xf>
    <xf numFmtId="14" fontId="8" fillId="0" borderId="2" xfId="0" applyNumberFormat="1" applyFon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</cellXfs>
  <cellStyles count="3">
    <cellStyle name="Hyperlink" xfId="2" builtinId="8"/>
    <cellStyle name="Normal" xfId="0" builtinId="0"/>
    <cellStyle name="Percent" xfId="1" builtinId="5"/>
  </cellStyles>
  <dxfs count="40"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13" formatCode="0%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</dxf>
    <dxf>
      <numFmt numFmtId="19" formatCode="m/d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m/d/yyyy"/>
    </dxf>
    <dxf>
      <numFmt numFmtId="19" formatCode="m/d/yyyy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indent="0" justifyLastLine="0" shrinkToFit="0" readingOrder="0"/>
    </dxf>
    <dxf>
      <numFmt numFmtId="19" formatCode="m/d/yyyy"/>
    </dxf>
    <dxf>
      <numFmt numFmtId="0" formatCode="General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adjustColumnWidth="0" connectionId="5" xr16:uid="{AEB76905-ECE5-4E69-9A79-25616F1DF58B}" autoFormatId="16" applyNumberFormats="0" applyBorderFormats="0" applyFontFormats="0" applyPatternFormats="0" applyAlignmentFormats="0" applyWidthHeightFormats="0">
  <queryTableRefresh nextId="42" unboundColumnsRight="5">
    <queryTableFields count="22">
      <queryTableField id="1" name="Kit" tableColumnId="1"/>
      <queryTableField id="27" name="Ecode" tableColumnId="4"/>
      <queryTableField id="2" name="Client" tableColumnId="2"/>
      <queryTableField id="28" name="ITSS Contact" tableColumnId="20"/>
      <queryTableField id="15" name="Contact Email" tableColumnId="13"/>
      <queryTableField id="3" name="Order Number" tableColumnId="3"/>
      <queryTableField id="25" name="Billing Start Date" tableColumnId="19"/>
      <queryTableField id="17" name="Cycle Start" tableColumnId="15"/>
      <queryTableField id="33" name="Next Cycle Date" tableColumnId="21"/>
      <queryTableField id="37" name="Days Until Reset" tableColumnId="23"/>
      <queryTableField id="5" name="Monthly Allowance" tableColumnId="5"/>
      <queryTableField id="16" name="Alerts Enabled" tableColumnId="14"/>
      <queryTableField id="6" name="Status" tableColumnId="6"/>
      <queryTableField id="18" name="Baseline Date" tableColumnId="16"/>
      <queryTableField id="40" name="Plan Amount" tableColumnId="18"/>
      <queryTableField id="7" name="Data Usage (GB)" tableColumnId="7"/>
      <queryTableField id="23" name="Current Usage" tableColumnId="17"/>
      <queryTableField id="8" dataBound="0" tableColumnId="8"/>
      <queryTableField id="9" dataBound="0" tableColumnId="9"/>
      <queryTableField id="10" dataBound="0" tableColumnId="10"/>
      <queryTableField id="11" dataBound="0" tableColumnId="11"/>
      <queryTableField id="12" dataBound="0" tableColumnId="1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8" xr16:uid="{BD062013-B88E-4413-A280-A6C414502C88}" autoFormatId="16" applyNumberFormats="0" applyBorderFormats="0" applyFontFormats="0" applyPatternFormats="0" applyAlignmentFormats="0" applyWidthHeightFormats="0">
  <queryTableRefresh nextId="3">
    <queryTableFields count="2">
      <queryTableField id="1" name="Source.Name" tableColumnId="1"/>
      <queryTableField id="2" name="Text Between Delimiters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C436296-7600-4797-B70E-0F2C5135A07C}" name="Dashboard_Query" displayName="Dashboard_Query" ref="A9:V220" tableType="queryTable" totalsRowShown="0" headerRowDxfId="39" dataDxfId="38">
  <autoFilter ref="A9:V220" xr:uid="{0C436296-7600-4797-B70E-0F2C5135A07C}">
    <filterColumn colId="12">
      <filters>
        <filter val="Active"/>
      </filters>
    </filterColumn>
  </autoFilter>
  <sortState xmlns:xlrd2="http://schemas.microsoft.com/office/spreadsheetml/2017/richdata2" ref="A10:V220">
    <sortCondition descending="1" ref="V9:V220"/>
  </sortState>
  <tableColumns count="22">
    <tableColumn id="1" xr3:uid="{55A3A0AD-1EAE-4190-AB75-FA899F0CEE14}" uniqueName="1" name="Kit" queryTableFieldId="1" dataDxfId="20"/>
    <tableColumn id="4" xr3:uid="{78E72899-14F2-4002-8C99-5A3ECE7DE834}" uniqueName="4" name="Ecode" queryTableFieldId="27" dataDxfId="19"/>
    <tableColumn id="2" xr3:uid="{CC155CE0-F552-4E56-B0EE-117A25C32514}" uniqueName="2" name="Client" queryTableFieldId="2" dataDxfId="18"/>
    <tableColumn id="20" xr3:uid="{0D15D32B-1FE0-49A0-AC89-024CA5BA7AEE}" uniqueName="20" name="ITSS Contact" queryTableFieldId="28" dataDxfId="17"/>
    <tableColumn id="13" xr3:uid="{A917BE2E-FDCC-4700-B964-EFDD0E2CB0AD}" uniqueName="13" name="Contact Email" queryTableFieldId="15" dataDxfId="16"/>
    <tableColumn id="3" xr3:uid="{DEEC4DAA-BF3F-4009-8243-E27228822C2B}" uniqueName="3" name="Order Number" queryTableFieldId="3" dataDxfId="15"/>
    <tableColumn id="19" xr3:uid="{B519F726-2924-4E4F-9D37-4A3CB8F133A5}" uniqueName="19" name="Billing Start Date" queryTableFieldId="25" dataDxfId="14"/>
    <tableColumn id="15" xr3:uid="{D54CFD64-A403-4B77-977B-F87EDD41D1D8}" uniqueName="15" name="Cycle Start" queryTableFieldId="17" dataDxfId="13"/>
    <tableColumn id="21" xr3:uid="{3BD20A17-B775-4575-9BFE-96707260B497}" uniqueName="21" name="Next Cycle Date" queryTableFieldId="33" dataDxfId="12"/>
    <tableColumn id="23" xr3:uid="{3DD7D1A9-C04B-4109-9A92-169E0CBB5C31}" uniqueName="23" name="Days Until Reset" queryTableFieldId="37"/>
    <tableColumn id="5" xr3:uid="{326E7D3E-E7F8-4C54-A520-BCAA47F84579}" uniqueName="5" name="Monthly Allowance" queryTableFieldId="5" dataDxfId="11"/>
    <tableColumn id="14" xr3:uid="{1B925EF6-8DCA-4676-B826-7B0CAE94378B}" uniqueName="14" name="Alerts Enabled" queryTableFieldId="16" dataDxfId="10"/>
    <tableColumn id="6" xr3:uid="{FDA902A6-DA08-4DDD-AD7E-58A8A2E2D3D6}" uniqueName="6" name="Status" queryTableFieldId="6" dataDxfId="9"/>
    <tableColumn id="16" xr3:uid="{30747AF3-4CF5-4843-B6A1-F0AF15F89A50}" uniqueName="16" name="Baseline Date" queryTableFieldId="18" dataDxfId="8"/>
    <tableColumn id="18" xr3:uid="{DF69EE88-AD8A-43AC-A376-64DA33CF0491}" uniqueName="18" name="Plan Amount" queryTableFieldId="40" dataDxfId="7"/>
    <tableColumn id="7" xr3:uid="{F2110A65-143F-448D-8592-3CCC02B450EE}" uniqueName="7" name="Data Usage (GB)" queryTableFieldId="7" dataDxfId="6"/>
    <tableColumn id="17" xr3:uid="{7158D03D-0272-4C6D-ADEE-FD55645D527E}" uniqueName="17" name="Current Usage" queryTableFieldId="23" dataDxfId="5"/>
    <tableColumn id="8" xr3:uid="{2663C68F-D63C-4BB4-BB55-0C5FD598037A}" uniqueName="8" name="GB Remaining" queryTableFieldId="8" dataDxfId="4">
      <calculatedColumnFormula>IF(
    OR(Dashboard_Query[[#This Row],[Monthly Allowance]]="",Dashboard_Query[[#This Row],[Current Usage]]=""),
    "",
    MAX(0,Dashboard_Query[[#This Row],[Monthly Allowance]]-Dashboard_Query[[#This Row],[Current Usage]])
)</calculatedColumnFormula>
    </tableColumn>
    <tableColumn id="9" xr3:uid="{0C5AC04A-6AC2-439E-BF61-D68331305EEA}" uniqueName="9" name="% Used" queryTableFieldId="9" dataDxfId="3" dataCellStyle="Percent">
      <calculatedColumnFormula>IF(OR(Dashboard_Query[[#This Row],[Monthly Allowance]]="",Dashboard_Query[[#This Row],[Current Usage]]=""),"",Dashboard_Query[[#This Row],[Current Usage]]/Dashboard_Query[[#This Row],[Monthly Allowance]])</calculatedColumnFormula>
    </tableColumn>
    <tableColumn id="10" xr3:uid="{F8DDCB18-ACE9-48F5-9675-972405B00695}" uniqueName="10" name="%Remaining" queryTableFieldId="10" dataDxfId="2" dataCellStyle="Percent">
      <calculatedColumnFormula>IF(Dashboard_Query[[#This Row],[% Used]]="","",1-Dashboard_Query[[#This Row],[% Used]])</calculatedColumnFormula>
    </tableColumn>
    <tableColumn id="11" xr3:uid="{874CD7EF-8362-4027-B6D3-12946BAEB3FF}" uniqueName="11" name="Overage" queryTableFieldId="11" dataDxfId="1">
      <calculatedColumnFormula>IF(OR(Dashboard_Query[[#This Row],[Monthly Allowance]]="",Dashboard_Query[[#This Row],[Current Usage]]=""),"",MAX(0,Dashboard_Query[[#This Row],[Current Usage]]-Dashboard_Query[[#This Row],[Monthly Allowance]]))</calculatedColumnFormula>
    </tableColumn>
    <tableColumn id="12" xr3:uid="{FC712D0C-1596-4B1B-BD4B-C865D719F746}" uniqueName="12" name="Biling Status" queryTableFieldId="12" dataDxfId="0">
      <calculatedColumnFormula>IF(Dashboard_Query[[#This Row],[Monthly Allowance]]="","",IF(Dashboard_Query[[#This Row],[Overage]]&gt;0,"OVER",IF(Dashboard_Query[[#This Row],[% Used]]&gt;=0.8,"WARNING","OK")))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BCC22D-28EC-4ADD-9D57-051F2EA65219}" name="Report_Date" displayName="Report_Date" ref="Z1:AA2" tableType="queryTable" totalsRowShown="0">
  <autoFilter ref="Z1:AA2" xr:uid="{D6BCC22D-28EC-4ADD-9D57-051F2EA65219}"/>
  <tableColumns count="2">
    <tableColumn id="1" xr3:uid="{A38D614A-BCF0-4AC3-A3B4-7D7FC1F7D71C}" uniqueName="1" name="Source.Name" queryTableFieldId="1" dataDxfId="37"/>
    <tableColumn id="2" xr3:uid="{F0FD3011-BA62-4870-9165-1FCC209DAC1B}" uniqueName="2" name="Text Between Delimiters" queryTableFieldId="2" dataDxfId="3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7434B5-2257-4C8E-BBBF-65EA3B112AF6}" name="Orders" displayName="Orders" ref="A1:J210" totalsRowShown="0" headerRowDxfId="35" dataDxfId="34">
  <autoFilter ref="A1:J210" xr:uid="{567434B5-2257-4C8E-BBBF-65EA3B112AF6}"/>
  <sortState xmlns:xlrd2="http://schemas.microsoft.com/office/spreadsheetml/2017/richdata2" ref="A2:J210">
    <sortCondition ref="B1:B210"/>
  </sortState>
  <tableColumns count="10">
    <tableColumn id="1" xr3:uid="{9E9D361A-1B92-4244-BBAE-4113F127387A}" name="Kit" dataDxfId="33"/>
    <tableColumn id="10" xr3:uid="{C62FC310-4ED9-496E-9478-8FD6328C3C02}" name="Ecode" dataDxfId="32"/>
    <tableColumn id="2" xr3:uid="{169C5831-EFF9-4DBE-BD79-7358C4F36DBB}" name="Client" dataDxfId="31"/>
    <tableColumn id="9" xr3:uid="{8E5725F8-292B-477A-9BB5-2B9E3DF453A7}" name="ITSS Contact" dataDxfId="30"/>
    <tableColumn id="7" xr3:uid="{E1A6EE57-7D42-46CF-AE06-F753A58A8624}" name="Contact Email" dataDxfId="29"/>
    <tableColumn id="3" xr3:uid="{ECF77B7D-E867-4D09-9D89-AEC7055D71B3}" name="Order Number" dataDxfId="28"/>
    <tableColumn id="4" xr3:uid="{EA5F898C-916E-4B6B-8B6B-D031E74B81B6}" name="Billing Start Date" dataDxfId="27"/>
    <tableColumn id="5" xr3:uid="{7A85B0FF-2739-4450-A595-6575ED2FBE60}" name="Monthly Allowance" dataDxfId="26"/>
    <tableColumn id="6" xr3:uid="{96B4793F-3276-4740-A44D-DC1049D7A238}" name="Status" dataDxfId="25"/>
    <tableColumn id="8" xr3:uid="{CC8201B6-554F-42AC-9DB0-7B6E96ACE07B}" name="Alerts Enabled" dataDxfId="2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0CE52-8D23-42E9-9041-191EDF951852}">
  <sheetPr>
    <tabColor theme="9"/>
  </sheetPr>
  <dimension ref="A1:AA220"/>
  <sheetViews>
    <sheetView tabSelected="1" zoomScaleNormal="100" workbookViewId="0">
      <selection activeCell="F7" sqref="F7"/>
    </sheetView>
  </sheetViews>
  <sheetFormatPr defaultColWidth="8.875" defaultRowHeight="14.25"/>
  <cols>
    <col min="1" max="1" width="21" style="5" bestFit="1" customWidth="1"/>
    <col min="2" max="2" width="14.625" style="5" bestFit="1" customWidth="1"/>
    <col min="3" max="3" width="27.625" style="5" bestFit="1" customWidth="1"/>
    <col min="4" max="4" width="16.5" style="5" bestFit="1" customWidth="1"/>
    <col min="5" max="5" width="32.5" style="5" customWidth="1"/>
    <col min="6" max="6" width="18.125" style="5" bestFit="1" customWidth="1"/>
    <col min="7" max="7" width="20.5" style="5" bestFit="1" customWidth="1"/>
    <col min="8" max="8" width="12.125" style="4" hidden="1" customWidth="1"/>
    <col min="9" max="9" width="17.5" style="6" bestFit="1" customWidth="1"/>
    <col min="10" max="10" width="23.125" style="4" customWidth="1"/>
    <col min="11" max="11" width="23.625" style="4" customWidth="1"/>
    <col min="12" max="12" width="18.5" style="4" hidden="1" customWidth="1"/>
    <col min="13" max="13" width="10.625" style="8" bestFit="1" customWidth="1"/>
    <col min="14" max="14" width="13" style="8" hidden="1" customWidth="1"/>
    <col min="15" max="15" width="19" style="8" hidden="1" customWidth="1"/>
    <col min="16" max="16" width="18.5" style="8" hidden="1" customWidth="1"/>
    <col min="17" max="17" width="18.5" style="8" customWidth="1"/>
    <col min="18" max="18" width="22.125" style="8" customWidth="1"/>
    <col min="19" max="19" width="18.125" style="8" bestFit="1" customWidth="1"/>
    <col min="20" max="20" width="23" style="4" customWidth="1"/>
    <col min="21" max="21" width="16" style="5" bestFit="1" customWidth="1"/>
    <col min="22" max="22" width="13" style="10" bestFit="1" customWidth="1"/>
    <col min="23" max="23" width="16.5" style="10" bestFit="1" customWidth="1"/>
    <col min="24" max="24" width="14.125" style="5" bestFit="1" customWidth="1"/>
    <col min="25" max="25" width="14.125" bestFit="1" customWidth="1"/>
    <col min="26" max="26" width="42.25" bestFit="1" customWidth="1"/>
    <col min="27" max="27" width="25.125" bestFit="1" customWidth="1"/>
  </cols>
  <sheetData>
    <row r="1" spans="1:27" s="1" customFormat="1">
      <c r="A1" s="41" t="s">
        <v>0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2"/>
      <c r="X1" s="42"/>
      <c r="Y1" s="2"/>
      <c r="Z1" s="1" t="s">
        <v>1</v>
      </c>
      <c r="AA1" s="1" t="s">
        <v>2</v>
      </c>
    </row>
    <row r="2" spans="1:27" s="1" customFormat="1">
      <c r="A2" s="42"/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  <c r="X2" s="42"/>
      <c r="Z2" s="1" t="s">
        <v>3</v>
      </c>
      <c r="AA2" s="32">
        <v>46223</v>
      </c>
    </row>
    <row r="3" spans="1:27" s="1" customFormat="1" ht="17.25" customHeight="1">
      <c r="A3" s="22" t="s">
        <v>4</v>
      </c>
      <c r="B3" s="40">
        <f>AA2</f>
        <v>46223</v>
      </c>
      <c r="C3" s="22"/>
      <c r="D3" s="22"/>
      <c r="E3" s="11"/>
      <c r="F3" s="11"/>
      <c r="G3" s="11"/>
      <c r="H3" s="11"/>
      <c r="I3" s="12"/>
      <c r="J3" s="11"/>
      <c r="K3" s="11"/>
      <c r="L3" s="11"/>
      <c r="M3" s="13"/>
      <c r="N3" s="13"/>
      <c r="O3" s="13"/>
      <c r="P3" s="13"/>
      <c r="Q3" s="13"/>
      <c r="R3" s="13"/>
      <c r="S3" s="13"/>
      <c r="T3" s="11"/>
      <c r="U3" s="22" t="s">
        <v>5</v>
      </c>
      <c r="V3" s="25">
        <f>COUNTIF(Dashboard_Query[Biling Status],"over")</f>
        <v>0</v>
      </c>
      <c r="W3" s="14"/>
      <c r="X3" s="4"/>
    </row>
    <row r="4" spans="1:27" s="1" customFormat="1">
      <c r="A4" s="22" t="s">
        <v>6</v>
      </c>
      <c r="B4" s="22" cm="1">
        <f t="array" ref="B4">ROWS(_xlfn.UNIQUE(_xlfn._xlws.FILTER(Dashboard_Query[Kit],Dashboard_Query[Status]="Active")))</f>
        <v>168</v>
      </c>
      <c r="C4" s="22" t="s">
        <v>474</v>
      </c>
      <c r="D4" s="22" cm="1">
        <f t="array" ref="D4">ROWS(_xlfn.UNIQUE(_xlfn._xlws.FILTER(Dashboard_Query[Kit],Dashboard_Query[Status]="Deactivated")))</f>
        <v>41</v>
      </c>
      <c r="E4" s="4"/>
      <c r="F4" s="4"/>
      <c r="G4" s="4"/>
      <c r="H4" s="4"/>
      <c r="I4" s="6"/>
      <c r="J4" s="4"/>
      <c r="K4" s="4"/>
      <c r="L4" s="4"/>
      <c r="M4" s="8"/>
      <c r="N4" s="8"/>
      <c r="O4" s="8"/>
      <c r="P4" s="8"/>
      <c r="Q4" s="8"/>
      <c r="R4" s="8"/>
      <c r="S4" s="8"/>
      <c r="T4" s="4"/>
      <c r="U4" s="22" t="s">
        <v>7</v>
      </c>
      <c r="V4" s="25">
        <f>COUNTIF(Dashboard_Query[Biling Status],"Warning")</f>
        <v>2</v>
      </c>
      <c r="W4" s="15"/>
      <c r="X4" s="4"/>
    </row>
    <row r="5" spans="1:27" s="1" customFormat="1">
      <c r="A5" s="22" t="s">
        <v>8</v>
      </c>
      <c r="B5" s="23">
        <f>SUM(Dashboard_Query[Monthly Allowance])</f>
        <v>124000</v>
      </c>
      <c r="C5" s="22"/>
      <c r="D5" s="22"/>
      <c r="E5" s="4"/>
      <c r="F5" s="4"/>
      <c r="G5" s="4"/>
      <c r="H5" s="4"/>
      <c r="I5" s="6"/>
      <c r="J5" s="4"/>
      <c r="K5" s="4"/>
      <c r="L5" s="4"/>
      <c r="M5" s="8"/>
      <c r="N5" s="8"/>
      <c r="O5" s="8"/>
      <c r="P5" s="8"/>
      <c r="Q5" s="8"/>
      <c r="R5" s="8"/>
      <c r="S5" s="8"/>
      <c r="T5" s="4"/>
      <c r="U5" s="22" t="s">
        <v>9</v>
      </c>
      <c r="V5" s="25">
        <f>COUNTIF(Dashboard_Query[Biling Status],"OK")</f>
        <v>209</v>
      </c>
      <c r="W5" s="15"/>
      <c r="X5" s="4"/>
    </row>
    <row r="6" spans="1:27" s="1" customFormat="1">
      <c r="A6" s="22" t="s">
        <v>10</v>
      </c>
      <c r="B6" s="24">
        <f>SUM(Dashboard_Query[Data Usage (GB)])</f>
        <v>14694.990000000011</v>
      </c>
      <c r="C6" s="22"/>
      <c r="D6" s="22"/>
      <c r="E6" s="4"/>
      <c r="F6" s="4"/>
      <c r="G6" s="4"/>
      <c r="H6" s="4"/>
      <c r="I6" s="6"/>
      <c r="J6" s="4"/>
      <c r="K6" s="4"/>
      <c r="L6" s="4"/>
      <c r="M6" s="8"/>
      <c r="N6" s="8"/>
      <c r="O6" s="8"/>
      <c r="P6" s="8"/>
      <c r="Q6" s="8"/>
      <c r="R6" s="8"/>
      <c r="S6" s="8"/>
      <c r="T6" s="4"/>
      <c r="U6" s="22" t="s">
        <v>11</v>
      </c>
      <c r="V6" s="26">
        <f>SUM(Dashboard_Query[Overage])</f>
        <v>0</v>
      </c>
      <c r="W6" s="15"/>
      <c r="X6" s="4"/>
    </row>
    <row r="7" spans="1:27" s="1" customFormat="1">
      <c r="A7" s="22" t="s">
        <v>12</v>
      </c>
      <c r="B7" s="23">
        <f>SUM(Dashboard_Query[GB Remaining])</f>
        <v>109445.08999999994</v>
      </c>
      <c r="C7" s="22"/>
      <c r="D7" s="22"/>
      <c r="E7" s="4"/>
      <c r="F7" s="4"/>
      <c r="G7" s="4"/>
      <c r="H7" s="4"/>
      <c r="I7" s="6"/>
      <c r="J7" s="4"/>
      <c r="K7" s="4"/>
      <c r="L7" s="4"/>
      <c r="M7" s="8"/>
      <c r="N7" s="8"/>
      <c r="O7" s="8"/>
      <c r="P7" s="8"/>
      <c r="Q7" s="8"/>
      <c r="R7" s="8"/>
      <c r="S7" s="8"/>
      <c r="T7" s="4"/>
      <c r="U7" s="22" t="s">
        <v>13</v>
      </c>
      <c r="V7" s="27">
        <f>IFERROR(AVERAGE(Dashboard_Query[% Used]),0)</f>
        <v>6.9270221169036333E-2</v>
      </c>
      <c r="W7" s="15"/>
      <c r="X7" s="4"/>
    </row>
    <row r="8" spans="1:27" s="1" customFormat="1">
      <c r="A8" s="16"/>
      <c r="B8" s="17"/>
      <c r="C8" s="17"/>
      <c r="D8" s="17"/>
      <c r="E8" s="17"/>
      <c r="F8" s="17"/>
      <c r="G8" s="17"/>
      <c r="H8" s="17"/>
      <c r="I8" s="18"/>
      <c r="J8" s="17"/>
      <c r="K8" s="17"/>
      <c r="L8" s="17"/>
      <c r="M8" s="19"/>
      <c r="N8" s="19"/>
      <c r="O8" s="19"/>
      <c r="P8" s="19"/>
      <c r="Q8" s="19"/>
      <c r="R8" s="19"/>
      <c r="S8" s="19"/>
      <c r="T8" s="17"/>
      <c r="U8" s="17"/>
      <c r="V8" s="20"/>
      <c r="W8" s="21"/>
      <c r="X8" s="4"/>
    </row>
    <row r="9" spans="1:27" ht="24.75" customHeight="1">
      <c r="A9" s="28" t="s">
        <v>14</v>
      </c>
      <c r="B9" s="28" t="s">
        <v>15</v>
      </c>
      <c r="C9" s="28" t="s">
        <v>16</v>
      </c>
      <c r="D9" s="28" t="s">
        <v>17</v>
      </c>
      <c r="E9" s="28" t="s">
        <v>18</v>
      </c>
      <c r="F9" s="28" t="s">
        <v>19</v>
      </c>
      <c r="G9" s="28" t="s">
        <v>20</v>
      </c>
      <c r="H9" s="4" t="s">
        <v>21</v>
      </c>
      <c r="I9" s="31" t="s">
        <v>22</v>
      </c>
      <c r="J9" s="28" t="s">
        <v>23</v>
      </c>
      <c r="K9" s="28" t="s">
        <v>24</v>
      </c>
      <c r="L9" s="4" t="s">
        <v>25</v>
      </c>
      <c r="M9" s="28" t="s">
        <v>26</v>
      </c>
      <c r="N9" s="4" t="s">
        <v>27</v>
      </c>
      <c r="O9" s="1" t="s">
        <v>28</v>
      </c>
      <c r="P9" s="4" t="s">
        <v>29</v>
      </c>
      <c r="Q9" s="28" t="s">
        <v>10</v>
      </c>
      <c r="R9" s="28" t="s">
        <v>30</v>
      </c>
      <c r="S9" s="29" t="s">
        <v>31</v>
      </c>
      <c r="T9" s="29" t="s">
        <v>32</v>
      </c>
      <c r="U9" s="28" t="s">
        <v>33</v>
      </c>
      <c r="V9" s="28" t="s">
        <v>34</v>
      </c>
      <c r="W9" s="1"/>
      <c r="X9" s="1"/>
      <c r="Y9" s="1"/>
      <c r="Z9" s="1"/>
      <c r="AA9" s="1"/>
    </row>
    <row r="10" spans="1:27">
      <c r="A10" s="4" t="s">
        <v>35</v>
      </c>
      <c r="B10" s="4">
        <v>807635</v>
      </c>
      <c r="C10" s="4" t="s">
        <v>36</v>
      </c>
      <c r="D10" s="4" t="s">
        <v>37</v>
      </c>
      <c r="E10" s="4" t="s">
        <v>38</v>
      </c>
      <c r="F10" s="4">
        <v>211118386</v>
      </c>
      <c r="G10" s="6">
        <v>46170</v>
      </c>
      <c r="H10" s="6">
        <v>46201</v>
      </c>
      <c r="I10" s="32">
        <v>46231</v>
      </c>
      <c r="J10" s="1">
        <v>8</v>
      </c>
      <c r="K10" s="4">
        <v>500</v>
      </c>
      <c r="M10" s="4" t="s">
        <v>39</v>
      </c>
      <c r="N10" s="6">
        <v>46201</v>
      </c>
      <c r="O10" s="1">
        <v>500</v>
      </c>
      <c r="P10" s="4">
        <v>435.09</v>
      </c>
      <c r="Q10" s="4">
        <v>435.09</v>
      </c>
      <c r="R10" s="4">
        <f>IF(
    OR(Dashboard_Query[[#This Row],[Monthly Allowance]]="",Dashboard_Query[[#This Row],[Current Usage]]=""),
    "",
    MAX(0,Dashboard_Query[[#This Row],[Monthly Allowance]]-Dashboard_Query[[#This Row],[Current Usage]])
)</f>
        <v>64.910000000000025</v>
      </c>
      <c r="S10" s="9">
        <f>IF(OR(Dashboard_Query[[#This Row],[Monthly Allowance]]="",Dashboard_Query[[#This Row],[Current Usage]]=""),"",Dashboard_Query[[#This Row],[Current Usage]]/Dashboard_Query[[#This Row],[Monthly Allowance]])</f>
        <v>0.87017999999999995</v>
      </c>
      <c r="T10" s="9">
        <f>IF(Dashboard_Query[[#This Row],[% Used]]="","",1-Dashboard_Query[[#This Row],[% Used]])</f>
        <v>0.12982000000000005</v>
      </c>
      <c r="U10" s="4">
        <f>IF(OR(Dashboard_Query[[#This Row],[Monthly Allowance]]="",Dashboard_Query[[#This Row],[Current Usage]]=""),"",MAX(0,Dashboard_Query[[#This Row],[Current Usage]]-Dashboard_Query[[#This Row],[Monthly Allowance]]))</f>
        <v>0</v>
      </c>
      <c r="V10" s="4" t="str">
        <f>IF(Dashboard_Query[[#This Row],[Monthly Allowance]]="","",IF(Dashboard_Query[[#This Row],[Overage]]&gt;0,"OVER",IF(Dashboard_Query[[#This Row],[% Used]]&gt;=0.8,"WARNING","OK")))</f>
        <v>WARNING</v>
      </c>
      <c r="W10" s="1"/>
      <c r="X10" s="1"/>
      <c r="Y10" s="1"/>
      <c r="Z10" s="1"/>
      <c r="AA10" s="1"/>
    </row>
    <row r="11" spans="1:27">
      <c r="A11" s="4" t="s">
        <v>40</v>
      </c>
      <c r="B11" s="4">
        <v>812929</v>
      </c>
      <c r="C11" s="4" t="s">
        <v>41</v>
      </c>
      <c r="D11" s="4" t="s">
        <v>42</v>
      </c>
      <c r="E11" s="4" t="s">
        <v>43</v>
      </c>
      <c r="F11" s="4">
        <v>211120662</v>
      </c>
      <c r="G11" s="6">
        <v>46203</v>
      </c>
      <c r="H11" s="6">
        <v>46203</v>
      </c>
      <c r="I11" s="32">
        <v>46233</v>
      </c>
      <c r="J11" s="1">
        <v>10</v>
      </c>
      <c r="K11" s="4">
        <v>3000</v>
      </c>
      <c r="M11" s="4" t="s">
        <v>39</v>
      </c>
      <c r="N11" s="6">
        <v>46203</v>
      </c>
      <c r="O11" s="1">
        <v>50</v>
      </c>
      <c r="P11" s="4">
        <v>2560.9699999999998</v>
      </c>
      <c r="Q11" s="4">
        <v>2560.9699999999998</v>
      </c>
      <c r="R11" s="4">
        <f>IF(
    OR(Dashboard_Query[[#This Row],[Monthly Allowance]]="",Dashboard_Query[[#This Row],[Current Usage]]=""),
    "",
    MAX(0,Dashboard_Query[[#This Row],[Monthly Allowance]]-Dashboard_Query[[#This Row],[Current Usage]])
)</f>
        <v>439.0300000000002</v>
      </c>
      <c r="S11" s="9">
        <f>IF(OR(Dashboard_Query[[#This Row],[Monthly Allowance]]="",Dashboard_Query[[#This Row],[Current Usage]]=""),"",Dashboard_Query[[#This Row],[Current Usage]]/Dashboard_Query[[#This Row],[Monthly Allowance]])</f>
        <v>0.85365666666666662</v>
      </c>
      <c r="T11" s="9">
        <f>IF(Dashboard_Query[[#This Row],[% Used]]="","",1-Dashboard_Query[[#This Row],[% Used]])</f>
        <v>0.14634333333333338</v>
      </c>
      <c r="U11" s="4">
        <f>IF(OR(Dashboard_Query[[#This Row],[Monthly Allowance]]="",Dashboard_Query[[#This Row],[Current Usage]]=""),"",MAX(0,Dashboard_Query[[#This Row],[Current Usage]]-Dashboard_Query[[#This Row],[Monthly Allowance]]))</f>
        <v>0</v>
      </c>
      <c r="V11" s="4" t="str">
        <f>IF(Dashboard_Query[[#This Row],[Monthly Allowance]]="","",IF(Dashboard_Query[[#This Row],[Overage]]&gt;0,"OVER",IF(Dashboard_Query[[#This Row],[% Used]]&gt;=0.8,"WARNING","OK")))</f>
        <v>WARNING</v>
      </c>
      <c r="W11" s="1"/>
      <c r="X11" s="1"/>
      <c r="Y11" s="1"/>
      <c r="Z11" s="1"/>
      <c r="AA11" s="1"/>
    </row>
    <row r="12" spans="1:27">
      <c r="A12" s="4" t="s">
        <v>35</v>
      </c>
      <c r="B12" s="4">
        <v>807635</v>
      </c>
      <c r="C12" s="4" t="s">
        <v>36</v>
      </c>
      <c r="D12" s="4" t="s">
        <v>37</v>
      </c>
      <c r="E12" s="4" t="s">
        <v>38</v>
      </c>
      <c r="F12" s="4">
        <v>211118386</v>
      </c>
      <c r="G12" s="6">
        <v>46170</v>
      </c>
      <c r="H12" s="6">
        <v>46201</v>
      </c>
      <c r="I12" s="32">
        <v>46231</v>
      </c>
      <c r="J12" s="1">
        <v>8</v>
      </c>
      <c r="K12" s="4">
        <v>500</v>
      </c>
      <c r="M12" s="4" t="s">
        <v>39</v>
      </c>
      <c r="N12" s="6">
        <v>46201</v>
      </c>
      <c r="O12" s="1">
        <v>500</v>
      </c>
      <c r="P12" s="4">
        <v>0</v>
      </c>
      <c r="Q12" s="4">
        <v>0</v>
      </c>
      <c r="R12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12" s="9">
        <f>IF(OR(Dashboard_Query[[#This Row],[Monthly Allowance]]="",Dashboard_Query[[#This Row],[Current Usage]]=""),"",Dashboard_Query[[#This Row],[Current Usage]]/Dashboard_Query[[#This Row],[Monthly Allowance]])</f>
        <v>0</v>
      </c>
      <c r="T12" s="9">
        <f>IF(Dashboard_Query[[#This Row],[% Used]]="","",1-Dashboard_Query[[#This Row],[% Used]])</f>
        <v>1</v>
      </c>
      <c r="U12" s="4">
        <f>IF(OR(Dashboard_Query[[#This Row],[Monthly Allowance]]="",Dashboard_Query[[#This Row],[Current Usage]]=""),"",MAX(0,Dashboard_Query[[#This Row],[Current Usage]]-Dashboard_Query[[#This Row],[Monthly Allowance]]))</f>
        <v>0</v>
      </c>
      <c r="V12" s="4" t="str">
        <f>IF(Dashboard_Query[[#This Row],[Monthly Allowance]]="","",IF(Dashboard_Query[[#This Row],[Overage]]&gt;0,"OVER",IF(Dashboard_Query[[#This Row],[% Used]]&gt;=0.8,"WARNING","OK")))</f>
        <v>OK</v>
      </c>
      <c r="W12" s="1"/>
      <c r="X12" s="1"/>
      <c r="Y12" s="1"/>
      <c r="Z12" s="1"/>
      <c r="AA12" s="1"/>
    </row>
    <row r="13" spans="1:27">
      <c r="A13" s="4" t="s">
        <v>44</v>
      </c>
      <c r="B13" s="4">
        <v>812795</v>
      </c>
      <c r="C13" s="4" t="s">
        <v>41</v>
      </c>
      <c r="D13" s="4" t="s">
        <v>42</v>
      </c>
      <c r="E13" s="4" t="s">
        <v>43</v>
      </c>
      <c r="F13" s="4">
        <v>211120662</v>
      </c>
      <c r="G13" s="6">
        <v>46203</v>
      </c>
      <c r="H13" s="6">
        <v>46203</v>
      </c>
      <c r="I13" s="32">
        <v>46233</v>
      </c>
      <c r="J13" s="1">
        <v>10</v>
      </c>
      <c r="K13" s="4">
        <v>500</v>
      </c>
      <c r="M13" s="4" t="s">
        <v>39</v>
      </c>
      <c r="N13" s="6">
        <v>46203</v>
      </c>
      <c r="O13" s="1">
        <v>50</v>
      </c>
      <c r="P13" s="4">
        <v>85.16</v>
      </c>
      <c r="Q13" s="4">
        <v>85.16</v>
      </c>
      <c r="R13" s="4">
        <f>IF(
    OR(Dashboard_Query[[#This Row],[Monthly Allowance]]="",Dashboard_Query[[#This Row],[Current Usage]]=""),
    "",
    MAX(0,Dashboard_Query[[#This Row],[Monthly Allowance]]-Dashboard_Query[[#This Row],[Current Usage]])
)</f>
        <v>414.84000000000003</v>
      </c>
      <c r="S13" s="9">
        <f>IF(OR(Dashboard_Query[[#This Row],[Monthly Allowance]]="",Dashboard_Query[[#This Row],[Current Usage]]=""),"",Dashboard_Query[[#This Row],[Current Usage]]/Dashboard_Query[[#This Row],[Monthly Allowance]])</f>
        <v>0.17032</v>
      </c>
      <c r="T13" s="9">
        <f>IF(Dashboard_Query[[#This Row],[% Used]]="","",1-Dashboard_Query[[#This Row],[% Used]])</f>
        <v>0.82967999999999997</v>
      </c>
      <c r="U13" s="4">
        <f>IF(OR(Dashboard_Query[[#This Row],[Monthly Allowance]]="",Dashboard_Query[[#This Row],[Current Usage]]=""),"",MAX(0,Dashboard_Query[[#This Row],[Current Usage]]-Dashboard_Query[[#This Row],[Monthly Allowance]]))</f>
        <v>0</v>
      </c>
      <c r="V13" s="4" t="str">
        <f>IF(Dashboard_Query[[#This Row],[Monthly Allowance]]="","",IF(Dashboard_Query[[#This Row],[Overage]]&gt;0,"OVER",IF(Dashboard_Query[[#This Row],[% Used]]&gt;=0.8,"WARNING","OK")))</f>
        <v>OK</v>
      </c>
      <c r="W13" s="1"/>
      <c r="X13" s="1"/>
      <c r="Y13" s="1"/>
      <c r="Z13" s="1"/>
      <c r="AA13" s="1"/>
    </row>
    <row r="14" spans="1:27">
      <c r="A14" s="4" t="s">
        <v>45</v>
      </c>
      <c r="B14" s="4">
        <v>812927</v>
      </c>
      <c r="C14" s="4" t="s">
        <v>41</v>
      </c>
      <c r="D14" s="4" t="s">
        <v>42</v>
      </c>
      <c r="E14" s="4" t="s">
        <v>43</v>
      </c>
      <c r="F14" s="4">
        <v>211120662</v>
      </c>
      <c r="G14" s="6">
        <v>46203</v>
      </c>
      <c r="H14" s="6">
        <v>46203</v>
      </c>
      <c r="I14" s="32">
        <v>46233</v>
      </c>
      <c r="J14" s="1">
        <v>10</v>
      </c>
      <c r="K14" s="4">
        <v>5000</v>
      </c>
      <c r="M14" s="4" t="s">
        <v>39</v>
      </c>
      <c r="N14" s="6">
        <v>46203</v>
      </c>
      <c r="O14" s="1">
        <v>50</v>
      </c>
      <c r="P14" s="4">
        <v>3182.4</v>
      </c>
      <c r="Q14" s="4">
        <v>3182.4</v>
      </c>
      <c r="R14" s="4">
        <f>IF(
    OR(Dashboard_Query[[#This Row],[Monthly Allowance]]="",Dashboard_Query[[#This Row],[Current Usage]]=""),
    "",
    MAX(0,Dashboard_Query[[#This Row],[Monthly Allowance]]-Dashboard_Query[[#This Row],[Current Usage]])
)</f>
        <v>1817.6</v>
      </c>
      <c r="S14" s="9">
        <f>IF(OR(Dashboard_Query[[#This Row],[Monthly Allowance]]="",Dashboard_Query[[#This Row],[Current Usage]]=""),"",Dashboard_Query[[#This Row],[Current Usage]]/Dashboard_Query[[#This Row],[Monthly Allowance]])</f>
        <v>0.63648000000000005</v>
      </c>
      <c r="T14" s="9">
        <f>IF(Dashboard_Query[[#This Row],[% Used]]="","",1-Dashboard_Query[[#This Row],[% Used]])</f>
        <v>0.36351999999999995</v>
      </c>
      <c r="U14" s="4">
        <f>IF(OR(Dashboard_Query[[#This Row],[Monthly Allowance]]="",Dashboard_Query[[#This Row],[Current Usage]]=""),"",MAX(0,Dashboard_Query[[#This Row],[Current Usage]]-Dashboard_Query[[#This Row],[Monthly Allowance]]))</f>
        <v>0</v>
      </c>
      <c r="V14" s="4" t="str">
        <f>IF(Dashboard_Query[[#This Row],[Monthly Allowance]]="","",IF(Dashboard_Query[[#This Row],[Overage]]&gt;0,"OVER",IF(Dashboard_Query[[#This Row],[% Used]]&gt;=0.8,"WARNING","OK")))</f>
        <v>OK</v>
      </c>
      <c r="W14" s="1"/>
      <c r="X14" s="1"/>
      <c r="Y14" s="1"/>
      <c r="Z14" s="1"/>
      <c r="AA14" s="1"/>
    </row>
    <row r="15" spans="1:27">
      <c r="A15" s="4" t="s">
        <v>46</v>
      </c>
      <c r="B15" s="4">
        <v>812800</v>
      </c>
      <c r="C15" s="4" t="s">
        <v>47</v>
      </c>
      <c r="D15" s="4" t="s">
        <v>48</v>
      </c>
      <c r="E15" s="4" t="s">
        <v>49</v>
      </c>
      <c r="F15" s="4">
        <v>211120714</v>
      </c>
      <c r="G15" s="6">
        <v>46204</v>
      </c>
      <c r="H15" s="6">
        <v>46204</v>
      </c>
      <c r="I15" s="32">
        <v>46235</v>
      </c>
      <c r="J15" s="1">
        <v>12</v>
      </c>
      <c r="K15" s="4">
        <v>500</v>
      </c>
      <c r="M15" s="4" t="s">
        <v>39</v>
      </c>
      <c r="N15" s="6">
        <v>46204</v>
      </c>
      <c r="O15" s="1">
        <v>50</v>
      </c>
      <c r="P15" s="4">
        <v>42.09</v>
      </c>
      <c r="Q15" s="4">
        <v>42.09</v>
      </c>
      <c r="R15" s="4">
        <f>IF(
    OR(Dashboard_Query[[#This Row],[Monthly Allowance]]="",Dashboard_Query[[#This Row],[Current Usage]]=""),
    "",
    MAX(0,Dashboard_Query[[#This Row],[Monthly Allowance]]-Dashboard_Query[[#This Row],[Current Usage]])
)</f>
        <v>457.90999999999997</v>
      </c>
      <c r="S15" s="9">
        <f>IF(OR(Dashboard_Query[[#This Row],[Monthly Allowance]]="",Dashboard_Query[[#This Row],[Current Usage]]=""),"",Dashboard_Query[[#This Row],[Current Usage]]/Dashboard_Query[[#This Row],[Monthly Allowance]])</f>
        <v>8.4180000000000005E-2</v>
      </c>
      <c r="T15" s="9">
        <f>IF(Dashboard_Query[[#This Row],[% Used]]="","",1-Dashboard_Query[[#This Row],[% Used]])</f>
        <v>0.91581999999999997</v>
      </c>
      <c r="U15" s="4">
        <f>IF(OR(Dashboard_Query[[#This Row],[Monthly Allowance]]="",Dashboard_Query[[#This Row],[Current Usage]]=""),"",MAX(0,Dashboard_Query[[#This Row],[Current Usage]]-Dashboard_Query[[#This Row],[Monthly Allowance]]))</f>
        <v>0</v>
      </c>
      <c r="V15" s="4" t="str">
        <f>IF(Dashboard_Query[[#This Row],[Monthly Allowance]]="","",IF(Dashboard_Query[[#This Row],[Overage]]&gt;0,"OVER",IF(Dashboard_Query[[#This Row],[% Used]]&gt;=0.8,"WARNING","OK")))</f>
        <v>OK</v>
      </c>
      <c r="W15" s="1"/>
      <c r="X15" s="1"/>
      <c r="Y15" s="1"/>
      <c r="Z15" s="1"/>
      <c r="AA15" s="1"/>
    </row>
    <row r="16" spans="1:27">
      <c r="A16" s="4" t="s">
        <v>50</v>
      </c>
      <c r="B16" s="4">
        <v>807636</v>
      </c>
      <c r="C16" s="4" t="s">
        <v>36</v>
      </c>
      <c r="D16" s="4" t="s">
        <v>37</v>
      </c>
      <c r="E16" s="4" t="s">
        <v>38</v>
      </c>
      <c r="F16" s="4">
        <v>211118386</v>
      </c>
      <c r="G16" s="6">
        <v>46170</v>
      </c>
      <c r="H16" s="6">
        <v>46201</v>
      </c>
      <c r="I16" s="32">
        <v>46231</v>
      </c>
      <c r="J16" s="1">
        <v>8</v>
      </c>
      <c r="K16" s="4">
        <v>500</v>
      </c>
      <c r="M16" s="4" t="s">
        <v>39</v>
      </c>
      <c r="N16" s="6">
        <v>46201</v>
      </c>
      <c r="O16" s="1">
        <v>500</v>
      </c>
      <c r="P16" s="4">
        <v>389.21</v>
      </c>
      <c r="Q16" s="4">
        <v>389.21</v>
      </c>
      <c r="R16" s="4">
        <f>IF(
    OR(Dashboard_Query[[#This Row],[Monthly Allowance]]="",Dashboard_Query[[#This Row],[Current Usage]]=""),
    "",
    MAX(0,Dashboard_Query[[#This Row],[Monthly Allowance]]-Dashboard_Query[[#This Row],[Current Usage]])
)</f>
        <v>110.79000000000002</v>
      </c>
      <c r="S16" s="9">
        <f>IF(OR(Dashboard_Query[[#This Row],[Monthly Allowance]]="",Dashboard_Query[[#This Row],[Current Usage]]=""),"",Dashboard_Query[[#This Row],[Current Usage]]/Dashboard_Query[[#This Row],[Monthly Allowance]])</f>
        <v>0.77842</v>
      </c>
      <c r="T16" s="9">
        <f>IF(Dashboard_Query[[#This Row],[% Used]]="","",1-Dashboard_Query[[#This Row],[% Used]])</f>
        <v>0.22158</v>
      </c>
      <c r="U16" s="4">
        <f>IF(OR(Dashboard_Query[[#This Row],[Monthly Allowance]]="",Dashboard_Query[[#This Row],[Current Usage]]=""),"",MAX(0,Dashboard_Query[[#This Row],[Current Usage]]-Dashboard_Query[[#This Row],[Monthly Allowance]]))</f>
        <v>0</v>
      </c>
      <c r="V16" s="4" t="str">
        <f>IF(Dashboard_Query[[#This Row],[Monthly Allowance]]="","",IF(Dashboard_Query[[#This Row],[Overage]]&gt;0,"OVER",IF(Dashboard_Query[[#This Row],[% Used]]&gt;=0.8,"WARNING","OK")))</f>
        <v>OK</v>
      </c>
      <c r="W16" s="1"/>
      <c r="X16" s="1"/>
      <c r="Y16" s="1"/>
      <c r="Z16" s="1"/>
      <c r="AA16" s="1"/>
    </row>
    <row r="17" spans="1:24">
      <c r="A17" s="4" t="s">
        <v>51</v>
      </c>
      <c r="B17" s="4">
        <v>812820</v>
      </c>
      <c r="C17" s="4" t="s">
        <v>47</v>
      </c>
      <c r="D17" s="4" t="s">
        <v>48</v>
      </c>
      <c r="E17" s="4" t="s">
        <v>49</v>
      </c>
      <c r="F17" s="4">
        <v>211120714</v>
      </c>
      <c r="G17" s="6">
        <v>46204</v>
      </c>
      <c r="H17" s="6">
        <v>46204</v>
      </c>
      <c r="I17" s="32">
        <v>46235</v>
      </c>
      <c r="J17" s="1">
        <v>12</v>
      </c>
      <c r="K17" s="4">
        <v>500</v>
      </c>
      <c r="M17" s="4" t="s">
        <v>39</v>
      </c>
      <c r="N17" s="6">
        <v>46204</v>
      </c>
      <c r="O17" s="1">
        <v>500</v>
      </c>
      <c r="P17" s="4">
        <v>3.71</v>
      </c>
      <c r="Q17" s="4">
        <v>3.71</v>
      </c>
      <c r="R17" s="4">
        <f>IF(
    OR(Dashboard_Query[[#This Row],[Monthly Allowance]]="",Dashboard_Query[[#This Row],[Current Usage]]=""),
    "",
    MAX(0,Dashboard_Query[[#This Row],[Monthly Allowance]]-Dashboard_Query[[#This Row],[Current Usage]])
)</f>
        <v>496.29</v>
      </c>
      <c r="S17" s="9">
        <f>IF(OR(Dashboard_Query[[#This Row],[Monthly Allowance]]="",Dashboard_Query[[#This Row],[Current Usage]]=""),"",Dashboard_Query[[#This Row],[Current Usage]]/Dashboard_Query[[#This Row],[Monthly Allowance]])</f>
        <v>7.4199999999999995E-3</v>
      </c>
      <c r="T17" s="9">
        <f>IF(Dashboard_Query[[#This Row],[% Used]]="","",1-Dashboard_Query[[#This Row],[% Used]])</f>
        <v>0.99258000000000002</v>
      </c>
      <c r="U17" s="4">
        <f>IF(OR(Dashboard_Query[[#This Row],[Monthly Allowance]]="",Dashboard_Query[[#This Row],[Current Usage]]=""),"",MAX(0,Dashboard_Query[[#This Row],[Current Usage]]-Dashboard_Query[[#This Row],[Monthly Allowance]]))</f>
        <v>0</v>
      </c>
      <c r="V17" s="4" t="str">
        <f>IF(Dashboard_Query[[#This Row],[Monthly Allowance]]="","",IF(Dashboard_Query[[#This Row],[Overage]]&gt;0,"OVER",IF(Dashboard_Query[[#This Row],[% Used]]&gt;=0.8,"WARNING","OK")))</f>
        <v>OK</v>
      </c>
      <c r="W17" s="1"/>
      <c r="X17" s="1"/>
    </row>
    <row r="18" spans="1:24">
      <c r="A18" s="4" t="s">
        <v>52</v>
      </c>
      <c r="B18" s="4">
        <v>812799</v>
      </c>
      <c r="C18" s="4" t="s">
        <v>47</v>
      </c>
      <c r="D18" s="4" t="s">
        <v>48</v>
      </c>
      <c r="E18" s="4" t="s">
        <v>49</v>
      </c>
      <c r="F18" s="4">
        <v>211120714</v>
      </c>
      <c r="G18" s="6">
        <v>46204</v>
      </c>
      <c r="H18" s="6">
        <v>46204</v>
      </c>
      <c r="I18" s="32">
        <v>46235</v>
      </c>
      <c r="J18" s="1">
        <v>12</v>
      </c>
      <c r="K18" s="4">
        <v>500</v>
      </c>
      <c r="M18" s="4" t="s">
        <v>39</v>
      </c>
      <c r="N18" s="6">
        <v>46204</v>
      </c>
      <c r="O18" s="1">
        <v>50</v>
      </c>
      <c r="P18" s="4">
        <v>252.88</v>
      </c>
      <c r="Q18" s="4">
        <v>252.88</v>
      </c>
      <c r="R18" s="4">
        <f>IF(
    OR(Dashboard_Query[[#This Row],[Monthly Allowance]]="",Dashboard_Query[[#This Row],[Current Usage]]=""),
    "",
    MAX(0,Dashboard_Query[[#This Row],[Monthly Allowance]]-Dashboard_Query[[#This Row],[Current Usage]])
)</f>
        <v>247.12</v>
      </c>
      <c r="S18" s="9">
        <f>IF(OR(Dashboard_Query[[#This Row],[Monthly Allowance]]="",Dashboard_Query[[#This Row],[Current Usage]]=""),"",Dashboard_Query[[#This Row],[Current Usage]]/Dashboard_Query[[#This Row],[Monthly Allowance]])</f>
        <v>0.50575999999999999</v>
      </c>
      <c r="T18" s="9">
        <f>IF(Dashboard_Query[[#This Row],[% Used]]="","",1-Dashboard_Query[[#This Row],[% Used]])</f>
        <v>0.49424000000000001</v>
      </c>
      <c r="U18" s="4">
        <f>IF(OR(Dashboard_Query[[#This Row],[Monthly Allowance]]="",Dashboard_Query[[#This Row],[Current Usage]]=""),"",MAX(0,Dashboard_Query[[#This Row],[Current Usage]]-Dashboard_Query[[#This Row],[Monthly Allowance]]))</f>
        <v>0</v>
      </c>
      <c r="V18" s="4" t="str">
        <f>IF(Dashboard_Query[[#This Row],[Monthly Allowance]]="","",IF(Dashboard_Query[[#This Row],[Overage]]&gt;0,"OVER",IF(Dashboard_Query[[#This Row],[% Used]]&gt;=0.8,"WARNING","OK")))</f>
        <v>OK</v>
      </c>
      <c r="W18" s="1"/>
      <c r="X18" s="1"/>
    </row>
    <row r="19" spans="1:24">
      <c r="A19" s="4" t="s">
        <v>53</v>
      </c>
      <c r="B19" s="4">
        <v>809604</v>
      </c>
      <c r="C19" s="4" t="s">
        <v>54</v>
      </c>
      <c r="D19" s="4" t="s">
        <v>55</v>
      </c>
      <c r="E19" s="4" t="s">
        <v>56</v>
      </c>
      <c r="F19" s="4">
        <v>211120934</v>
      </c>
      <c r="G19" s="6">
        <v>46214</v>
      </c>
      <c r="H19" s="6">
        <v>46214</v>
      </c>
      <c r="I19" s="32">
        <v>46245</v>
      </c>
      <c r="J19" s="1">
        <v>22</v>
      </c>
      <c r="K19" s="4">
        <v>1000</v>
      </c>
      <c r="M19" s="4" t="s">
        <v>39</v>
      </c>
      <c r="N19" s="6">
        <v>46214</v>
      </c>
      <c r="O19" s="1">
        <v>500</v>
      </c>
      <c r="P19" s="4">
        <v>673.86</v>
      </c>
      <c r="Q19" s="4">
        <v>673.86</v>
      </c>
      <c r="R19" s="4">
        <f>IF(
    OR(Dashboard_Query[[#This Row],[Monthly Allowance]]="",Dashboard_Query[[#This Row],[Current Usage]]=""),
    "",
    MAX(0,Dashboard_Query[[#This Row],[Monthly Allowance]]-Dashboard_Query[[#This Row],[Current Usage]])
)</f>
        <v>326.14</v>
      </c>
      <c r="S19" s="9">
        <f>IF(OR(Dashboard_Query[[#This Row],[Monthly Allowance]]="",Dashboard_Query[[#This Row],[Current Usage]]=""),"",Dashboard_Query[[#This Row],[Current Usage]]/Dashboard_Query[[#This Row],[Monthly Allowance]])</f>
        <v>0.67386000000000001</v>
      </c>
      <c r="T19" s="9">
        <f>IF(Dashboard_Query[[#This Row],[% Used]]="","",1-Dashboard_Query[[#This Row],[% Used]])</f>
        <v>0.32613999999999999</v>
      </c>
      <c r="U19" s="4">
        <f>IF(OR(Dashboard_Query[[#This Row],[Monthly Allowance]]="",Dashboard_Query[[#This Row],[Current Usage]]=""),"",MAX(0,Dashboard_Query[[#This Row],[Current Usage]]-Dashboard_Query[[#This Row],[Monthly Allowance]]))</f>
        <v>0</v>
      </c>
      <c r="V19" s="4" t="str">
        <f>IF(Dashboard_Query[[#This Row],[Monthly Allowance]]="","",IF(Dashboard_Query[[#This Row],[Overage]]&gt;0,"OVER",IF(Dashboard_Query[[#This Row],[% Used]]&gt;=0.8,"WARNING","OK")))</f>
        <v>OK</v>
      </c>
      <c r="W19" s="1"/>
      <c r="X19" s="1"/>
    </row>
    <row r="20" spans="1:24">
      <c r="A20" s="4" t="s">
        <v>57</v>
      </c>
      <c r="B20" s="4">
        <v>812850</v>
      </c>
      <c r="C20" s="4" t="s">
        <v>47</v>
      </c>
      <c r="D20" s="4" t="s">
        <v>48</v>
      </c>
      <c r="E20" s="4" t="s">
        <v>49</v>
      </c>
      <c r="F20" s="4">
        <v>211120714</v>
      </c>
      <c r="G20" s="6">
        <v>46204</v>
      </c>
      <c r="H20" s="6">
        <v>46204</v>
      </c>
      <c r="I20" s="32">
        <v>46235</v>
      </c>
      <c r="J20" s="1">
        <v>12</v>
      </c>
      <c r="K20" s="4">
        <v>500</v>
      </c>
      <c r="M20" s="4" t="s">
        <v>39</v>
      </c>
      <c r="N20" s="6">
        <v>46204</v>
      </c>
      <c r="O20" s="1">
        <v>50</v>
      </c>
      <c r="P20" s="4">
        <v>23.7</v>
      </c>
      <c r="Q20" s="4">
        <v>23.7</v>
      </c>
      <c r="R20" s="4">
        <f>IF(
    OR(Dashboard_Query[[#This Row],[Monthly Allowance]]="",Dashboard_Query[[#This Row],[Current Usage]]=""),
    "",
    MAX(0,Dashboard_Query[[#This Row],[Monthly Allowance]]-Dashboard_Query[[#This Row],[Current Usage]])
)</f>
        <v>476.3</v>
      </c>
      <c r="S20" s="9">
        <f>IF(OR(Dashboard_Query[[#This Row],[Monthly Allowance]]="",Dashboard_Query[[#This Row],[Current Usage]]=""),"",Dashboard_Query[[#This Row],[Current Usage]]/Dashboard_Query[[#This Row],[Monthly Allowance]])</f>
        <v>4.7399999999999998E-2</v>
      </c>
      <c r="T20" s="9">
        <f>IF(Dashboard_Query[[#This Row],[% Used]]="","",1-Dashboard_Query[[#This Row],[% Used]])</f>
        <v>0.9526</v>
      </c>
      <c r="U20" s="4">
        <f>IF(OR(Dashboard_Query[[#This Row],[Monthly Allowance]]="",Dashboard_Query[[#This Row],[Current Usage]]=""),"",MAX(0,Dashboard_Query[[#This Row],[Current Usage]]-Dashboard_Query[[#This Row],[Monthly Allowance]]))</f>
        <v>0</v>
      </c>
      <c r="V20" s="4" t="str">
        <f>IF(Dashboard_Query[[#This Row],[Monthly Allowance]]="","",IF(Dashboard_Query[[#This Row],[Overage]]&gt;0,"OVER",IF(Dashboard_Query[[#This Row],[% Used]]&gt;=0.8,"WARNING","OK")))</f>
        <v>OK</v>
      </c>
      <c r="W20" s="1"/>
      <c r="X20" s="1"/>
    </row>
    <row r="21" spans="1:24">
      <c r="A21" s="4" t="s">
        <v>58</v>
      </c>
      <c r="B21" s="4">
        <v>812924</v>
      </c>
      <c r="C21" s="4" t="s">
        <v>41</v>
      </c>
      <c r="D21" s="4" t="s">
        <v>42</v>
      </c>
      <c r="E21" s="4" t="s">
        <v>43</v>
      </c>
      <c r="F21" s="4">
        <v>211120662</v>
      </c>
      <c r="G21" s="6">
        <v>46203</v>
      </c>
      <c r="H21" s="6">
        <v>46203</v>
      </c>
      <c r="I21" s="32">
        <v>46233</v>
      </c>
      <c r="J21" s="1">
        <v>10</v>
      </c>
      <c r="K21" s="4">
        <v>2000</v>
      </c>
      <c r="M21" s="4" t="s">
        <v>39</v>
      </c>
      <c r="N21" s="6">
        <v>46203</v>
      </c>
      <c r="O21" s="1">
        <v>50</v>
      </c>
      <c r="P21" s="4">
        <v>867.78</v>
      </c>
      <c r="Q21" s="4">
        <v>867.78</v>
      </c>
      <c r="R21" s="4">
        <f>IF(
    OR(Dashboard_Query[[#This Row],[Monthly Allowance]]="",Dashboard_Query[[#This Row],[Current Usage]]=""),
    "",
    MAX(0,Dashboard_Query[[#This Row],[Monthly Allowance]]-Dashboard_Query[[#This Row],[Current Usage]])
)</f>
        <v>1132.22</v>
      </c>
      <c r="S21" s="9">
        <f>IF(OR(Dashboard_Query[[#This Row],[Monthly Allowance]]="",Dashboard_Query[[#This Row],[Current Usage]]=""),"",Dashboard_Query[[#This Row],[Current Usage]]/Dashboard_Query[[#This Row],[Monthly Allowance]])</f>
        <v>0.43389</v>
      </c>
      <c r="T21" s="9">
        <f>IF(Dashboard_Query[[#This Row],[% Used]]="","",1-Dashboard_Query[[#This Row],[% Used]])</f>
        <v>0.56611</v>
      </c>
      <c r="U21" s="4">
        <f>IF(OR(Dashboard_Query[[#This Row],[Monthly Allowance]]="",Dashboard_Query[[#This Row],[Current Usage]]=""),"",MAX(0,Dashboard_Query[[#This Row],[Current Usage]]-Dashboard_Query[[#This Row],[Monthly Allowance]]))</f>
        <v>0</v>
      </c>
      <c r="V21" s="4" t="str">
        <f>IF(Dashboard_Query[[#This Row],[Monthly Allowance]]="","",IF(Dashboard_Query[[#This Row],[Overage]]&gt;0,"OVER",IF(Dashboard_Query[[#This Row],[% Used]]&gt;=0.8,"WARNING","OK")))</f>
        <v>OK</v>
      </c>
      <c r="W21" s="1"/>
      <c r="X21" s="1"/>
    </row>
    <row r="22" spans="1:24">
      <c r="A22" s="4" t="s">
        <v>59</v>
      </c>
      <c r="B22" s="4">
        <v>814474</v>
      </c>
      <c r="C22" s="4" t="s">
        <v>60</v>
      </c>
      <c r="D22" s="4" t="s">
        <v>61</v>
      </c>
      <c r="E22" s="4" t="s">
        <v>62</v>
      </c>
      <c r="F22" s="4">
        <v>211121008</v>
      </c>
      <c r="G22" s="6">
        <v>46216</v>
      </c>
      <c r="H22" s="6">
        <v>46216</v>
      </c>
      <c r="I22" s="32">
        <v>46247</v>
      </c>
      <c r="J22" s="1">
        <v>24</v>
      </c>
      <c r="K22" s="4">
        <v>500</v>
      </c>
      <c r="M22" s="4" t="s">
        <v>39</v>
      </c>
      <c r="N22" s="6">
        <v>46216</v>
      </c>
      <c r="O22" s="1">
        <v>50</v>
      </c>
      <c r="P22" s="4">
        <v>32.89</v>
      </c>
      <c r="Q22" s="4">
        <v>32.89</v>
      </c>
      <c r="R22" s="4">
        <f>IF(
    OR(Dashboard_Query[[#This Row],[Monthly Allowance]]="",Dashboard_Query[[#This Row],[Current Usage]]=""),
    "",
    MAX(0,Dashboard_Query[[#This Row],[Monthly Allowance]]-Dashboard_Query[[#This Row],[Current Usage]])
)</f>
        <v>467.11</v>
      </c>
      <c r="S22" s="9">
        <f>IF(OR(Dashboard_Query[[#This Row],[Monthly Allowance]]="",Dashboard_Query[[#This Row],[Current Usage]]=""),"",Dashboard_Query[[#This Row],[Current Usage]]/Dashboard_Query[[#This Row],[Monthly Allowance]])</f>
        <v>6.5780000000000005E-2</v>
      </c>
      <c r="T22" s="9">
        <f>IF(Dashboard_Query[[#This Row],[% Used]]="","",1-Dashboard_Query[[#This Row],[% Used]])</f>
        <v>0.93422000000000005</v>
      </c>
      <c r="U22" s="4">
        <f>IF(OR(Dashboard_Query[[#This Row],[Monthly Allowance]]="",Dashboard_Query[[#This Row],[Current Usage]]=""),"",MAX(0,Dashboard_Query[[#This Row],[Current Usage]]-Dashboard_Query[[#This Row],[Monthly Allowance]]))</f>
        <v>0</v>
      </c>
      <c r="V22" s="4" t="str">
        <f>IF(Dashboard_Query[[#This Row],[Monthly Allowance]]="","",IF(Dashboard_Query[[#This Row],[Overage]]&gt;0,"OVER",IF(Dashboard_Query[[#This Row],[% Used]]&gt;=0.8,"WARNING","OK")))</f>
        <v>OK</v>
      </c>
      <c r="W22" s="1"/>
      <c r="X22" s="1"/>
    </row>
    <row r="23" spans="1:24">
      <c r="A23" s="4" t="s">
        <v>63</v>
      </c>
      <c r="B23" s="4">
        <v>809605</v>
      </c>
      <c r="C23" s="4" t="s">
        <v>64</v>
      </c>
      <c r="D23" s="4" t="s">
        <v>65</v>
      </c>
      <c r="E23" s="4" t="s">
        <v>66</v>
      </c>
      <c r="F23" s="4">
        <v>211120610</v>
      </c>
      <c r="G23" s="6">
        <v>46202</v>
      </c>
      <c r="H23" s="6">
        <v>46202</v>
      </c>
      <c r="I23" s="32">
        <v>46232</v>
      </c>
      <c r="J23" s="1">
        <v>9</v>
      </c>
      <c r="K23" s="4">
        <v>1000</v>
      </c>
      <c r="M23" s="4" t="s">
        <v>39</v>
      </c>
      <c r="N23" s="6">
        <v>46202</v>
      </c>
      <c r="O23" s="1">
        <v>500</v>
      </c>
      <c r="P23" s="4">
        <v>285.26</v>
      </c>
      <c r="Q23" s="4">
        <v>285.26</v>
      </c>
      <c r="R23" s="4">
        <f>IF(
    OR(Dashboard_Query[[#This Row],[Monthly Allowance]]="",Dashboard_Query[[#This Row],[Current Usage]]=""),
    "",
    MAX(0,Dashboard_Query[[#This Row],[Monthly Allowance]]-Dashboard_Query[[#This Row],[Current Usage]])
)</f>
        <v>714.74</v>
      </c>
      <c r="S23" s="9">
        <f>IF(OR(Dashboard_Query[[#This Row],[Monthly Allowance]]="",Dashboard_Query[[#This Row],[Current Usage]]=""),"",Dashboard_Query[[#This Row],[Current Usage]]/Dashboard_Query[[#This Row],[Monthly Allowance]])</f>
        <v>0.28526000000000001</v>
      </c>
      <c r="T23" s="9">
        <f>IF(Dashboard_Query[[#This Row],[% Used]]="","",1-Dashboard_Query[[#This Row],[% Used]])</f>
        <v>0.71473999999999993</v>
      </c>
      <c r="U23" s="4">
        <f>IF(OR(Dashboard_Query[[#This Row],[Monthly Allowance]]="",Dashboard_Query[[#This Row],[Current Usage]]=""),"",MAX(0,Dashboard_Query[[#This Row],[Current Usage]]-Dashboard_Query[[#This Row],[Monthly Allowance]]))</f>
        <v>0</v>
      </c>
      <c r="V23" s="4" t="str">
        <f>IF(Dashboard_Query[[#This Row],[Monthly Allowance]]="","",IF(Dashboard_Query[[#This Row],[Overage]]&gt;0,"OVER",IF(Dashboard_Query[[#This Row],[% Used]]&gt;=0.8,"WARNING","OK")))</f>
        <v>OK</v>
      </c>
      <c r="W23" s="1"/>
      <c r="X23" s="1"/>
    </row>
    <row r="24" spans="1:24" ht="15">
      <c r="A24" s="4" t="s">
        <v>67</v>
      </c>
      <c r="B24" s="4">
        <v>814434</v>
      </c>
      <c r="C24" s="4" t="s">
        <v>60</v>
      </c>
      <c r="D24" s="4" t="s">
        <v>61</v>
      </c>
      <c r="E24" s="7" t="s">
        <v>62</v>
      </c>
      <c r="F24" s="3">
        <v>211121008</v>
      </c>
      <c r="G24" s="6">
        <v>46216</v>
      </c>
      <c r="H24" s="6">
        <v>46216</v>
      </c>
      <c r="I24" s="32">
        <v>46247</v>
      </c>
      <c r="J24" s="1">
        <v>24</v>
      </c>
      <c r="K24" s="4">
        <v>500</v>
      </c>
      <c r="M24" s="4" t="s">
        <v>39</v>
      </c>
      <c r="N24" s="6">
        <v>46216</v>
      </c>
      <c r="O24" s="1">
        <v>50</v>
      </c>
      <c r="P24" s="4">
        <v>57.34</v>
      </c>
      <c r="Q24" s="4">
        <v>57.220000000000006</v>
      </c>
      <c r="R24" s="4">
        <f>IF(
    OR(Dashboard_Query[[#This Row],[Monthly Allowance]]="",Dashboard_Query[[#This Row],[Current Usage]]=""),
    "",
    MAX(0,Dashboard_Query[[#This Row],[Monthly Allowance]]-Dashboard_Query[[#This Row],[Current Usage]])
)</f>
        <v>442.78</v>
      </c>
      <c r="S24" s="9">
        <f>IF(OR(Dashboard_Query[[#This Row],[Monthly Allowance]]="",Dashboard_Query[[#This Row],[Current Usage]]=""),"",Dashboard_Query[[#This Row],[Current Usage]]/Dashboard_Query[[#This Row],[Monthly Allowance]])</f>
        <v>0.11444000000000001</v>
      </c>
      <c r="T24" s="9">
        <f>IF(Dashboard_Query[[#This Row],[% Used]]="","",1-Dashboard_Query[[#This Row],[% Used]])</f>
        <v>0.88556000000000001</v>
      </c>
      <c r="U24" s="4">
        <f>IF(OR(Dashboard_Query[[#This Row],[Monthly Allowance]]="",Dashboard_Query[[#This Row],[Current Usage]]=""),"",MAX(0,Dashboard_Query[[#This Row],[Current Usage]]-Dashboard_Query[[#This Row],[Monthly Allowance]]))</f>
        <v>0</v>
      </c>
      <c r="V24" s="4" t="str">
        <f>IF(Dashboard_Query[[#This Row],[Monthly Allowance]]="","",IF(Dashboard_Query[[#This Row],[Overage]]&gt;0,"OVER",IF(Dashboard_Query[[#This Row],[% Used]]&gt;=0.8,"WARNING","OK")))</f>
        <v>OK</v>
      </c>
      <c r="W24" s="1"/>
      <c r="X24" s="1"/>
    </row>
    <row r="25" spans="1:24">
      <c r="A25" s="4" t="s">
        <v>68</v>
      </c>
      <c r="B25" s="4">
        <v>809606</v>
      </c>
      <c r="C25" s="4" t="s">
        <v>41</v>
      </c>
      <c r="D25" s="4" t="s">
        <v>42</v>
      </c>
      <c r="E25" s="4" t="s">
        <v>43</v>
      </c>
      <c r="F25" s="4">
        <v>211120662</v>
      </c>
      <c r="G25" s="6">
        <v>46203</v>
      </c>
      <c r="H25" s="6">
        <v>46203</v>
      </c>
      <c r="I25" s="32">
        <v>46233</v>
      </c>
      <c r="J25" s="1">
        <v>10</v>
      </c>
      <c r="K25" s="4">
        <v>1000</v>
      </c>
      <c r="M25" s="4" t="s">
        <v>39</v>
      </c>
      <c r="N25" s="6">
        <v>46203</v>
      </c>
      <c r="O25" s="1">
        <v>500</v>
      </c>
      <c r="P25" s="4">
        <v>783.74</v>
      </c>
      <c r="Q25" s="4">
        <v>783.74</v>
      </c>
      <c r="R25" s="4">
        <f>IF(
    OR(Dashboard_Query[[#This Row],[Monthly Allowance]]="",Dashboard_Query[[#This Row],[Current Usage]]=""),
    "",
    MAX(0,Dashboard_Query[[#This Row],[Monthly Allowance]]-Dashboard_Query[[#This Row],[Current Usage]])
)</f>
        <v>216.26</v>
      </c>
      <c r="S25" s="9">
        <f>IF(OR(Dashboard_Query[[#This Row],[Monthly Allowance]]="",Dashboard_Query[[#This Row],[Current Usage]]=""),"",Dashboard_Query[[#This Row],[Current Usage]]/Dashboard_Query[[#This Row],[Monthly Allowance]])</f>
        <v>0.78373999999999999</v>
      </c>
      <c r="T25" s="9">
        <f>IF(Dashboard_Query[[#This Row],[% Used]]="","",1-Dashboard_Query[[#This Row],[% Used]])</f>
        <v>0.21626000000000001</v>
      </c>
      <c r="U25" s="4">
        <f>IF(OR(Dashboard_Query[[#This Row],[Monthly Allowance]]="",Dashboard_Query[[#This Row],[Current Usage]]=""),"",MAX(0,Dashboard_Query[[#This Row],[Current Usage]]-Dashboard_Query[[#This Row],[Monthly Allowance]]))</f>
        <v>0</v>
      </c>
      <c r="V25" s="4" t="str">
        <f>IF(Dashboard_Query[[#This Row],[Monthly Allowance]]="","",IF(Dashboard_Query[[#This Row],[Overage]]&gt;0,"OVER",IF(Dashboard_Query[[#This Row],[% Used]]&gt;=0.8,"WARNING","OK")))</f>
        <v>OK</v>
      </c>
      <c r="W25" s="1"/>
      <c r="X25" s="1"/>
    </row>
    <row r="26" spans="1:24">
      <c r="A26" s="4" t="s">
        <v>69</v>
      </c>
      <c r="B26" s="4">
        <v>814473</v>
      </c>
      <c r="C26" s="4" t="s">
        <v>60</v>
      </c>
      <c r="D26" s="4" t="s">
        <v>61</v>
      </c>
      <c r="E26" s="4" t="s">
        <v>62</v>
      </c>
      <c r="F26" s="4">
        <v>211121008</v>
      </c>
      <c r="G26" s="6">
        <v>46216</v>
      </c>
      <c r="H26" s="6">
        <v>46216</v>
      </c>
      <c r="I26" s="32">
        <v>46247</v>
      </c>
      <c r="J26" s="1">
        <v>24</v>
      </c>
      <c r="K26" s="4">
        <v>500</v>
      </c>
      <c r="M26" s="4" t="s">
        <v>39</v>
      </c>
      <c r="N26" s="6">
        <v>46216</v>
      </c>
      <c r="O26" s="1">
        <v>50</v>
      </c>
      <c r="P26" s="4">
        <v>93.92</v>
      </c>
      <c r="Q26" s="4">
        <v>93.92</v>
      </c>
      <c r="R26" s="4">
        <f>IF(
    OR(Dashboard_Query[[#This Row],[Monthly Allowance]]="",Dashboard_Query[[#This Row],[Current Usage]]=""),
    "",
    MAX(0,Dashboard_Query[[#This Row],[Monthly Allowance]]-Dashboard_Query[[#This Row],[Current Usage]])
)</f>
        <v>406.08</v>
      </c>
      <c r="S26" s="9">
        <f>IF(OR(Dashboard_Query[[#This Row],[Monthly Allowance]]="",Dashboard_Query[[#This Row],[Current Usage]]=""),"",Dashboard_Query[[#This Row],[Current Usage]]/Dashboard_Query[[#This Row],[Monthly Allowance]])</f>
        <v>0.18784000000000001</v>
      </c>
      <c r="T26" s="9">
        <f>IF(Dashboard_Query[[#This Row],[% Used]]="","",1-Dashboard_Query[[#This Row],[% Used]])</f>
        <v>0.81215999999999999</v>
      </c>
      <c r="U26" s="4">
        <f>IF(OR(Dashboard_Query[[#This Row],[Monthly Allowance]]="",Dashboard_Query[[#This Row],[Current Usage]]=""),"",MAX(0,Dashboard_Query[[#This Row],[Current Usage]]-Dashboard_Query[[#This Row],[Monthly Allowance]]))</f>
        <v>0</v>
      </c>
      <c r="V26" s="4" t="str">
        <f>IF(Dashboard_Query[[#This Row],[Monthly Allowance]]="","",IF(Dashboard_Query[[#This Row],[Overage]]&gt;0,"OVER",IF(Dashboard_Query[[#This Row],[% Used]]&gt;=0.8,"WARNING","OK")))</f>
        <v>OK</v>
      </c>
      <c r="W26" s="1"/>
      <c r="X26" s="1"/>
    </row>
    <row r="27" spans="1:24">
      <c r="A27" s="4" t="s">
        <v>70</v>
      </c>
      <c r="B27" s="4">
        <v>809607</v>
      </c>
      <c r="C27" s="4" t="s">
        <v>54</v>
      </c>
      <c r="D27" s="4" t="s">
        <v>55</v>
      </c>
      <c r="E27" s="4" t="s">
        <v>56</v>
      </c>
      <c r="F27" s="4">
        <v>211120934</v>
      </c>
      <c r="G27" s="6">
        <v>46214</v>
      </c>
      <c r="H27" s="6">
        <v>46214</v>
      </c>
      <c r="I27" s="32">
        <v>46245</v>
      </c>
      <c r="J27" s="1">
        <v>22</v>
      </c>
      <c r="K27" s="4">
        <v>500</v>
      </c>
      <c r="M27" s="4" t="s">
        <v>39</v>
      </c>
      <c r="N27" s="6">
        <v>46214</v>
      </c>
      <c r="O27" s="1">
        <v>500</v>
      </c>
      <c r="P27" s="4">
        <v>31.25</v>
      </c>
      <c r="Q27" s="4">
        <v>31.25</v>
      </c>
      <c r="R27" s="4">
        <f>IF(
    OR(Dashboard_Query[[#This Row],[Monthly Allowance]]="",Dashboard_Query[[#This Row],[Current Usage]]=""),
    "",
    MAX(0,Dashboard_Query[[#This Row],[Monthly Allowance]]-Dashboard_Query[[#This Row],[Current Usage]])
)</f>
        <v>468.75</v>
      </c>
      <c r="S27" s="9">
        <f>IF(OR(Dashboard_Query[[#This Row],[Monthly Allowance]]="",Dashboard_Query[[#This Row],[Current Usage]]=""),"",Dashboard_Query[[#This Row],[Current Usage]]/Dashboard_Query[[#This Row],[Monthly Allowance]])</f>
        <v>6.25E-2</v>
      </c>
      <c r="T27" s="9">
        <f>IF(Dashboard_Query[[#This Row],[% Used]]="","",1-Dashboard_Query[[#This Row],[% Used]])</f>
        <v>0.9375</v>
      </c>
      <c r="U27" s="4">
        <f>IF(OR(Dashboard_Query[[#This Row],[Monthly Allowance]]="",Dashboard_Query[[#This Row],[Current Usage]]=""),"",MAX(0,Dashboard_Query[[#This Row],[Current Usage]]-Dashboard_Query[[#This Row],[Monthly Allowance]]))</f>
        <v>0</v>
      </c>
      <c r="V27" s="4" t="str">
        <f>IF(Dashboard_Query[[#This Row],[Monthly Allowance]]="","",IF(Dashboard_Query[[#This Row],[Overage]]&gt;0,"OVER",IF(Dashboard_Query[[#This Row],[% Used]]&gt;=0.8,"WARNING","OK")))</f>
        <v>OK</v>
      </c>
      <c r="W27" s="1"/>
      <c r="X27" s="1"/>
    </row>
    <row r="28" spans="1:24">
      <c r="A28" s="4" t="s">
        <v>71</v>
      </c>
      <c r="B28" s="4">
        <v>814487</v>
      </c>
      <c r="C28" s="4" t="s">
        <v>72</v>
      </c>
      <c r="D28" s="4" t="s">
        <v>55</v>
      </c>
      <c r="E28" s="4" t="s">
        <v>56</v>
      </c>
      <c r="F28" s="4">
        <v>211120994</v>
      </c>
      <c r="G28" s="6">
        <v>46216</v>
      </c>
      <c r="H28" s="6">
        <v>46216</v>
      </c>
      <c r="I28" s="32">
        <v>46247</v>
      </c>
      <c r="J28" s="1">
        <v>24</v>
      </c>
      <c r="K28" s="4">
        <v>500</v>
      </c>
      <c r="M28" s="4" t="s">
        <v>39</v>
      </c>
      <c r="N28" s="6">
        <v>46216</v>
      </c>
      <c r="O28" s="1">
        <v>50</v>
      </c>
      <c r="P28" s="4">
        <v>2.0099999999999998</v>
      </c>
      <c r="Q28" s="4">
        <v>2.0099999999999998</v>
      </c>
      <c r="R28" s="4">
        <f>IF(
    OR(Dashboard_Query[[#This Row],[Monthly Allowance]]="",Dashboard_Query[[#This Row],[Current Usage]]=""),
    "",
    MAX(0,Dashboard_Query[[#This Row],[Monthly Allowance]]-Dashboard_Query[[#This Row],[Current Usage]])
)</f>
        <v>497.99</v>
      </c>
      <c r="S28" s="9">
        <f>IF(OR(Dashboard_Query[[#This Row],[Monthly Allowance]]="",Dashboard_Query[[#This Row],[Current Usage]]=""),"",Dashboard_Query[[#This Row],[Current Usage]]/Dashboard_Query[[#This Row],[Monthly Allowance]])</f>
        <v>4.0199999999999993E-3</v>
      </c>
      <c r="T28" s="9">
        <f>IF(Dashboard_Query[[#This Row],[% Used]]="","",1-Dashboard_Query[[#This Row],[% Used]])</f>
        <v>0.99597999999999998</v>
      </c>
      <c r="U28" s="4">
        <f>IF(OR(Dashboard_Query[[#This Row],[Monthly Allowance]]="",Dashboard_Query[[#This Row],[Current Usage]]=""),"",MAX(0,Dashboard_Query[[#This Row],[Current Usage]]-Dashboard_Query[[#This Row],[Monthly Allowance]]))</f>
        <v>0</v>
      </c>
      <c r="V28" s="4" t="str">
        <f>IF(Dashboard_Query[[#This Row],[Monthly Allowance]]="","",IF(Dashboard_Query[[#This Row],[Overage]]&gt;0,"OVER",IF(Dashboard_Query[[#This Row],[% Used]]&gt;=0.8,"WARNING","OK")))</f>
        <v>OK</v>
      </c>
      <c r="W28" s="1"/>
      <c r="X28" s="1"/>
    </row>
    <row r="29" spans="1:24" hidden="1">
      <c r="A29" s="4" t="s">
        <v>73</v>
      </c>
      <c r="B29" s="4">
        <v>809608</v>
      </c>
      <c r="C29" s="4"/>
      <c r="D29" s="4"/>
      <c r="E29" s="4"/>
      <c r="F29" s="4"/>
      <c r="G29" s="6"/>
      <c r="H29" s="6"/>
      <c r="I29" s="32"/>
      <c r="J29" s="1"/>
      <c r="K29" s="4">
        <v>500</v>
      </c>
      <c r="M29" s="4" t="s">
        <v>74</v>
      </c>
      <c r="N29" s="6"/>
      <c r="O29" s="1">
        <v>500</v>
      </c>
      <c r="P29" s="4">
        <v>0</v>
      </c>
      <c r="Q29" s="4">
        <v>0</v>
      </c>
      <c r="R29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29" s="9">
        <f>IF(OR(Dashboard_Query[[#This Row],[Monthly Allowance]]="",Dashboard_Query[[#This Row],[Current Usage]]=""),"",Dashboard_Query[[#This Row],[Current Usage]]/Dashboard_Query[[#This Row],[Monthly Allowance]])</f>
        <v>0</v>
      </c>
      <c r="T29" s="9">
        <f>IF(Dashboard_Query[[#This Row],[% Used]]="","",1-Dashboard_Query[[#This Row],[% Used]])</f>
        <v>1</v>
      </c>
      <c r="U29" s="4">
        <f>IF(OR(Dashboard_Query[[#This Row],[Monthly Allowance]]="",Dashboard_Query[[#This Row],[Current Usage]]=""),"",MAX(0,Dashboard_Query[[#This Row],[Current Usage]]-Dashboard_Query[[#This Row],[Monthly Allowance]]))</f>
        <v>0</v>
      </c>
      <c r="V29" s="4" t="str">
        <f>IF(Dashboard_Query[[#This Row],[Monthly Allowance]]="","",IF(Dashboard_Query[[#This Row],[Overage]]&gt;0,"OVER",IF(Dashboard_Query[[#This Row],[% Used]]&gt;=0.8,"WARNING","OK")))</f>
        <v>OK</v>
      </c>
      <c r="W29" s="1"/>
      <c r="X29" s="1"/>
    </row>
    <row r="30" spans="1:24" ht="15">
      <c r="A30" s="4" t="s">
        <v>75</v>
      </c>
      <c r="B30" s="4">
        <v>814460</v>
      </c>
      <c r="C30" s="4" t="s">
        <v>60</v>
      </c>
      <c r="D30" s="4" t="s">
        <v>61</v>
      </c>
      <c r="E30" s="7" t="s">
        <v>62</v>
      </c>
      <c r="F30" s="3">
        <v>211121008</v>
      </c>
      <c r="G30" s="6">
        <v>46216</v>
      </c>
      <c r="H30" s="6">
        <v>46216</v>
      </c>
      <c r="I30" s="32">
        <v>46247</v>
      </c>
      <c r="J30" s="1">
        <v>24</v>
      </c>
      <c r="K30" s="4">
        <v>500</v>
      </c>
      <c r="M30" s="4" t="s">
        <v>39</v>
      </c>
      <c r="N30" s="6">
        <v>46216</v>
      </c>
      <c r="O30" s="1">
        <v>50</v>
      </c>
      <c r="P30" s="4">
        <v>9.4700000000000006</v>
      </c>
      <c r="Q30" s="4">
        <v>9.3800000000000008</v>
      </c>
      <c r="R30" s="4">
        <f>IF(
    OR(Dashboard_Query[[#This Row],[Monthly Allowance]]="",Dashboard_Query[[#This Row],[Current Usage]]=""),
    "",
    MAX(0,Dashboard_Query[[#This Row],[Monthly Allowance]]-Dashboard_Query[[#This Row],[Current Usage]])
)</f>
        <v>490.62</v>
      </c>
      <c r="S30" s="9">
        <f>IF(OR(Dashboard_Query[[#This Row],[Monthly Allowance]]="",Dashboard_Query[[#This Row],[Current Usage]]=""),"",Dashboard_Query[[#This Row],[Current Usage]]/Dashboard_Query[[#This Row],[Monthly Allowance]])</f>
        <v>1.8760000000000002E-2</v>
      </c>
      <c r="T30" s="9">
        <f>IF(Dashboard_Query[[#This Row],[% Used]]="","",1-Dashboard_Query[[#This Row],[% Used]])</f>
        <v>0.98124</v>
      </c>
      <c r="U30" s="4">
        <f>IF(OR(Dashboard_Query[[#This Row],[Monthly Allowance]]="",Dashboard_Query[[#This Row],[Current Usage]]=""),"",MAX(0,Dashboard_Query[[#This Row],[Current Usage]]-Dashboard_Query[[#This Row],[Monthly Allowance]]))</f>
        <v>0</v>
      </c>
      <c r="V30" s="4" t="str">
        <f>IF(Dashboard_Query[[#This Row],[Monthly Allowance]]="","",IF(Dashboard_Query[[#This Row],[Overage]]&gt;0,"OVER",IF(Dashboard_Query[[#This Row],[% Used]]&gt;=0.8,"WARNING","OK")))</f>
        <v>OK</v>
      </c>
      <c r="W30" s="1"/>
      <c r="X30" s="1"/>
    </row>
    <row r="31" spans="1:24" hidden="1">
      <c r="A31" s="4" t="s">
        <v>76</v>
      </c>
      <c r="B31" s="4">
        <v>809609</v>
      </c>
      <c r="C31" s="4"/>
      <c r="D31" s="4"/>
      <c r="E31" s="4"/>
      <c r="F31" s="4"/>
      <c r="G31" s="6"/>
      <c r="H31" s="6"/>
      <c r="I31" s="32"/>
      <c r="J31" s="1"/>
      <c r="K31" s="4">
        <v>500</v>
      </c>
      <c r="M31" s="4" t="s">
        <v>74</v>
      </c>
      <c r="N31" s="6"/>
      <c r="O31" s="1">
        <v>500</v>
      </c>
      <c r="P31" s="4">
        <v>0</v>
      </c>
      <c r="Q31" s="4">
        <v>0</v>
      </c>
      <c r="R31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31" s="9">
        <f>IF(OR(Dashboard_Query[[#This Row],[Monthly Allowance]]="",Dashboard_Query[[#This Row],[Current Usage]]=""),"",Dashboard_Query[[#This Row],[Current Usage]]/Dashboard_Query[[#This Row],[Monthly Allowance]])</f>
        <v>0</v>
      </c>
      <c r="T31" s="9">
        <f>IF(Dashboard_Query[[#This Row],[% Used]]="","",1-Dashboard_Query[[#This Row],[% Used]])</f>
        <v>1</v>
      </c>
      <c r="U31" s="4">
        <f>IF(OR(Dashboard_Query[[#This Row],[Monthly Allowance]]="",Dashboard_Query[[#This Row],[Current Usage]]=""),"",MAX(0,Dashboard_Query[[#This Row],[Current Usage]]-Dashboard_Query[[#This Row],[Monthly Allowance]]))</f>
        <v>0</v>
      </c>
      <c r="V31" s="4" t="str">
        <f>IF(Dashboard_Query[[#This Row],[Monthly Allowance]]="","",IF(Dashboard_Query[[#This Row],[Overage]]&gt;0,"OVER",IF(Dashboard_Query[[#This Row],[% Used]]&gt;=0.8,"WARNING","OK")))</f>
        <v>OK</v>
      </c>
      <c r="W31" s="1"/>
      <c r="X31" s="1"/>
    </row>
    <row r="32" spans="1:24">
      <c r="A32" s="4" t="s">
        <v>77</v>
      </c>
      <c r="B32" s="4">
        <v>814481</v>
      </c>
      <c r="C32" s="4" t="s">
        <v>72</v>
      </c>
      <c r="D32" s="4" t="s">
        <v>55</v>
      </c>
      <c r="E32" s="4" t="s">
        <v>56</v>
      </c>
      <c r="F32" s="4">
        <v>211120994</v>
      </c>
      <c r="G32" s="6">
        <v>46216</v>
      </c>
      <c r="H32" s="6">
        <v>46216</v>
      </c>
      <c r="I32" s="32">
        <v>46247</v>
      </c>
      <c r="J32" s="1">
        <v>24</v>
      </c>
      <c r="K32" s="4">
        <v>500</v>
      </c>
      <c r="M32" s="4" t="s">
        <v>39</v>
      </c>
      <c r="N32" s="6">
        <v>46216</v>
      </c>
      <c r="O32" s="1">
        <v>50</v>
      </c>
      <c r="P32" s="4">
        <v>45.66</v>
      </c>
      <c r="Q32" s="4">
        <v>45.66</v>
      </c>
      <c r="R32" s="4">
        <f>IF(
    OR(Dashboard_Query[[#This Row],[Monthly Allowance]]="",Dashboard_Query[[#This Row],[Current Usage]]=""),
    "",
    MAX(0,Dashboard_Query[[#This Row],[Monthly Allowance]]-Dashboard_Query[[#This Row],[Current Usage]])
)</f>
        <v>454.34000000000003</v>
      </c>
      <c r="S32" s="9">
        <f>IF(OR(Dashboard_Query[[#This Row],[Monthly Allowance]]="",Dashboard_Query[[#This Row],[Current Usage]]=""),"",Dashboard_Query[[#This Row],[Current Usage]]/Dashboard_Query[[#This Row],[Monthly Allowance]])</f>
        <v>9.1319999999999998E-2</v>
      </c>
      <c r="T32" s="9">
        <f>IF(Dashboard_Query[[#This Row],[% Used]]="","",1-Dashboard_Query[[#This Row],[% Used]])</f>
        <v>0.90868000000000004</v>
      </c>
      <c r="U32" s="4">
        <f>IF(OR(Dashboard_Query[[#This Row],[Monthly Allowance]]="",Dashboard_Query[[#This Row],[Current Usage]]=""),"",MAX(0,Dashboard_Query[[#This Row],[Current Usage]]-Dashboard_Query[[#This Row],[Monthly Allowance]]))</f>
        <v>0</v>
      </c>
      <c r="V32" s="4" t="str">
        <f>IF(Dashboard_Query[[#This Row],[Monthly Allowance]]="","",IF(Dashboard_Query[[#This Row],[Overage]]&gt;0,"OVER",IF(Dashboard_Query[[#This Row],[% Used]]&gt;=0.8,"WARNING","OK")))</f>
        <v>OK</v>
      </c>
      <c r="W32" s="1"/>
      <c r="X32" s="1"/>
    </row>
    <row r="33" spans="1:24">
      <c r="A33" s="4" t="s">
        <v>78</v>
      </c>
      <c r="B33" s="4">
        <v>812923</v>
      </c>
      <c r="C33" s="4" t="s">
        <v>54</v>
      </c>
      <c r="D33" s="4" t="s">
        <v>55</v>
      </c>
      <c r="E33" s="4" t="s">
        <v>56</v>
      </c>
      <c r="F33" s="4">
        <v>211120934</v>
      </c>
      <c r="G33" s="6">
        <v>46214</v>
      </c>
      <c r="H33" s="6">
        <v>46214</v>
      </c>
      <c r="I33" s="32">
        <v>46245</v>
      </c>
      <c r="J33" s="1">
        <v>22</v>
      </c>
      <c r="K33" s="4">
        <v>1000</v>
      </c>
      <c r="M33" s="4" t="s">
        <v>39</v>
      </c>
      <c r="N33" s="6">
        <v>46214</v>
      </c>
      <c r="O33" s="1">
        <v>50</v>
      </c>
      <c r="P33" s="4">
        <v>374.22</v>
      </c>
      <c r="Q33" s="4">
        <v>374.22</v>
      </c>
      <c r="R33" s="4">
        <f>IF(
    OR(Dashboard_Query[[#This Row],[Monthly Allowance]]="",Dashboard_Query[[#This Row],[Current Usage]]=""),
    "",
    MAX(0,Dashboard_Query[[#This Row],[Monthly Allowance]]-Dashboard_Query[[#This Row],[Current Usage]])
)</f>
        <v>625.78</v>
      </c>
      <c r="S33" s="9">
        <f>IF(OR(Dashboard_Query[[#This Row],[Monthly Allowance]]="",Dashboard_Query[[#This Row],[Current Usage]]=""),"",Dashboard_Query[[#This Row],[Current Usage]]/Dashboard_Query[[#This Row],[Monthly Allowance]])</f>
        <v>0.37422000000000005</v>
      </c>
      <c r="T33" s="9">
        <f>IF(Dashboard_Query[[#This Row],[% Used]]="","",1-Dashboard_Query[[#This Row],[% Used]])</f>
        <v>0.62578</v>
      </c>
      <c r="U33" s="4">
        <f>IF(OR(Dashboard_Query[[#This Row],[Monthly Allowance]]="",Dashboard_Query[[#This Row],[Current Usage]]=""),"",MAX(0,Dashboard_Query[[#This Row],[Current Usage]]-Dashboard_Query[[#This Row],[Monthly Allowance]]))</f>
        <v>0</v>
      </c>
      <c r="V33" s="4" t="str">
        <f>IF(Dashboard_Query[[#This Row],[Monthly Allowance]]="","",IF(Dashboard_Query[[#This Row],[Overage]]&gt;0,"OVER",IF(Dashboard_Query[[#This Row],[% Used]]&gt;=0.8,"WARNING","OK")))</f>
        <v>OK</v>
      </c>
      <c r="W33" s="1"/>
      <c r="X33" s="1"/>
    </row>
    <row r="34" spans="1:24">
      <c r="A34" s="4" t="s">
        <v>79</v>
      </c>
      <c r="B34" s="4">
        <v>814439</v>
      </c>
      <c r="C34" s="4" t="s">
        <v>60</v>
      </c>
      <c r="D34" s="4" t="s">
        <v>61</v>
      </c>
      <c r="E34" s="4" t="s">
        <v>62</v>
      </c>
      <c r="F34" s="4">
        <v>211121008</v>
      </c>
      <c r="G34" s="6">
        <v>46216</v>
      </c>
      <c r="H34" s="6">
        <v>46216</v>
      </c>
      <c r="I34" s="32">
        <v>46247</v>
      </c>
      <c r="J34" s="1">
        <v>24</v>
      </c>
      <c r="K34" s="4">
        <v>500</v>
      </c>
      <c r="M34" s="4" t="s">
        <v>39</v>
      </c>
      <c r="N34" s="6">
        <v>46216</v>
      </c>
      <c r="O34" s="1">
        <v>50</v>
      </c>
      <c r="P34" s="4">
        <v>9.1</v>
      </c>
      <c r="Q34" s="4">
        <v>8.98</v>
      </c>
      <c r="R34" s="4">
        <f>IF(
    OR(Dashboard_Query[[#This Row],[Monthly Allowance]]="",Dashboard_Query[[#This Row],[Current Usage]]=""),
    "",
    MAX(0,Dashboard_Query[[#This Row],[Monthly Allowance]]-Dashboard_Query[[#This Row],[Current Usage]])
)</f>
        <v>491.02</v>
      </c>
      <c r="S34" s="9">
        <f>IF(OR(Dashboard_Query[[#This Row],[Monthly Allowance]]="",Dashboard_Query[[#This Row],[Current Usage]]=""),"",Dashboard_Query[[#This Row],[Current Usage]]/Dashboard_Query[[#This Row],[Monthly Allowance]])</f>
        <v>1.796E-2</v>
      </c>
      <c r="T34" s="9">
        <f>IF(Dashboard_Query[[#This Row],[% Used]]="","",1-Dashboard_Query[[#This Row],[% Used]])</f>
        <v>0.98204000000000002</v>
      </c>
      <c r="U34" s="4">
        <f>IF(OR(Dashboard_Query[[#This Row],[Monthly Allowance]]="",Dashboard_Query[[#This Row],[Current Usage]]=""),"",MAX(0,Dashboard_Query[[#This Row],[Current Usage]]-Dashboard_Query[[#This Row],[Monthly Allowance]]))</f>
        <v>0</v>
      </c>
      <c r="V34" s="4" t="str">
        <f>IF(Dashboard_Query[[#This Row],[Monthly Allowance]]="","",IF(Dashboard_Query[[#This Row],[Overage]]&gt;0,"OVER",IF(Dashboard_Query[[#This Row],[% Used]]&gt;=0.8,"WARNING","OK")))</f>
        <v>OK</v>
      </c>
      <c r="W34" s="1"/>
      <c r="X34" s="1"/>
    </row>
    <row r="35" spans="1:24">
      <c r="A35" s="4" t="s">
        <v>80</v>
      </c>
      <c r="B35" s="4">
        <v>809610</v>
      </c>
      <c r="C35" s="4" t="s">
        <v>54</v>
      </c>
      <c r="D35" s="4" t="s">
        <v>55</v>
      </c>
      <c r="E35" s="4" t="s">
        <v>56</v>
      </c>
      <c r="F35" s="4">
        <v>211120934</v>
      </c>
      <c r="G35" s="6">
        <v>46214</v>
      </c>
      <c r="H35" s="6">
        <v>46214</v>
      </c>
      <c r="I35" s="32">
        <v>46245</v>
      </c>
      <c r="J35" s="1">
        <v>22</v>
      </c>
      <c r="K35" s="4">
        <v>500</v>
      </c>
      <c r="M35" s="4" t="s">
        <v>39</v>
      </c>
      <c r="N35" s="6">
        <v>46214</v>
      </c>
      <c r="O35" s="1">
        <v>500</v>
      </c>
      <c r="P35" s="4">
        <v>22.76</v>
      </c>
      <c r="Q35" s="4">
        <v>22.76</v>
      </c>
      <c r="R35" s="4">
        <f>IF(
    OR(Dashboard_Query[[#This Row],[Monthly Allowance]]="",Dashboard_Query[[#This Row],[Current Usage]]=""),
    "",
    MAX(0,Dashboard_Query[[#This Row],[Monthly Allowance]]-Dashboard_Query[[#This Row],[Current Usage]])
)</f>
        <v>477.24</v>
      </c>
      <c r="S35" s="9">
        <f>IF(OR(Dashboard_Query[[#This Row],[Monthly Allowance]]="",Dashboard_Query[[#This Row],[Current Usage]]=""),"",Dashboard_Query[[#This Row],[Current Usage]]/Dashboard_Query[[#This Row],[Monthly Allowance]])</f>
        <v>4.5520000000000005E-2</v>
      </c>
      <c r="T35" s="9">
        <f>IF(Dashboard_Query[[#This Row],[% Used]]="","",1-Dashboard_Query[[#This Row],[% Used]])</f>
        <v>0.95448</v>
      </c>
      <c r="U35" s="4">
        <f>IF(OR(Dashboard_Query[[#This Row],[Monthly Allowance]]="",Dashboard_Query[[#This Row],[Current Usage]]=""),"",MAX(0,Dashboard_Query[[#This Row],[Current Usage]]-Dashboard_Query[[#This Row],[Monthly Allowance]]))</f>
        <v>0</v>
      </c>
      <c r="V35" s="4" t="str">
        <f>IF(Dashboard_Query[[#This Row],[Monthly Allowance]]="","",IF(Dashboard_Query[[#This Row],[Overage]]&gt;0,"OVER",IF(Dashboard_Query[[#This Row],[% Used]]&gt;=0.8,"WARNING","OK")))</f>
        <v>OK</v>
      </c>
      <c r="W35" s="1"/>
      <c r="X35" s="1"/>
    </row>
    <row r="36" spans="1:24">
      <c r="A36" s="4" t="s">
        <v>81</v>
      </c>
      <c r="B36" s="4">
        <v>814475</v>
      </c>
      <c r="C36" s="4" t="s">
        <v>60</v>
      </c>
      <c r="D36" s="4" t="s">
        <v>61</v>
      </c>
      <c r="E36" s="4" t="s">
        <v>62</v>
      </c>
      <c r="F36" s="4">
        <v>211121008</v>
      </c>
      <c r="G36" s="6">
        <v>46216</v>
      </c>
      <c r="H36" s="6">
        <v>46216</v>
      </c>
      <c r="I36" s="32">
        <v>46247</v>
      </c>
      <c r="J36" s="1">
        <v>24</v>
      </c>
      <c r="K36" s="4">
        <v>500</v>
      </c>
      <c r="M36" s="4" t="s">
        <v>39</v>
      </c>
      <c r="N36" s="6">
        <v>46216</v>
      </c>
      <c r="O36" s="1">
        <v>50</v>
      </c>
      <c r="P36" s="4">
        <v>19.72</v>
      </c>
      <c r="Q36" s="4">
        <v>19.72</v>
      </c>
      <c r="R36" s="4">
        <f>IF(
    OR(Dashboard_Query[[#This Row],[Monthly Allowance]]="",Dashboard_Query[[#This Row],[Current Usage]]=""),
    "",
    MAX(0,Dashboard_Query[[#This Row],[Monthly Allowance]]-Dashboard_Query[[#This Row],[Current Usage]])
)</f>
        <v>480.28</v>
      </c>
      <c r="S36" s="9">
        <f>IF(OR(Dashboard_Query[[#This Row],[Monthly Allowance]]="",Dashboard_Query[[#This Row],[Current Usage]]=""),"",Dashboard_Query[[#This Row],[Current Usage]]/Dashboard_Query[[#This Row],[Monthly Allowance]])</f>
        <v>3.9439999999999996E-2</v>
      </c>
      <c r="T36" s="9">
        <f>IF(Dashboard_Query[[#This Row],[% Used]]="","",1-Dashboard_Query[[#This Row],[% Used]])</f>
        <v>0.96055999999999997</v>
      </c>
      <c r="U36" s="4">
        <f>IF(OR(Dashboard_Query[[#This Row],[Monthly Allowance]]="",Dashboard_Query[[#This Row],[Current Usage]]=""),"",MAX(0,Dashboard_Query[[#This Row],[Current Usage]]-Dashboard_Query[[#This Row],[Monthly Allowance]]))</f>
        <v>0</v>
      </c>
      <c r="V36" s="4" t="str">
        <f>IF(Dashboard_Query[[#This Row],[Monthly Allowance]]="","",IF(Dashboard_Query[[#This Row],[Overage]]&gt;0,"OVER",IF(Dashboard_Query[[#This Row],[% Used]]&gt;=0.8,"WARNING","OK")))</f>
        <v>OK</v>
      </c>
      <c r="W36" s="1"/>
      <c r="X36" s="1"/>
    </row>
    <row r="37" spans="1:24">
      <c r="A37" s="4" t="s">
        <v>82</v>
      </c>
      <c r="B37" s="4">
        <v>812922</v>
      </c>
      <c r="C37" s="4" t="s">
        <v>54</v>
      </c>
      <c r="D37" s="4" t="s">
        <v>55</v>
      </c>
      <c r="E37" s="4" t="s">
        <v>56</v>
      </c>
      <c r="F37" s="4">
        <v>211120934</v>
      </c>
      <c r="G37" s="6">
        <v>46214</v>
      </c>
      <c r="H37" s="6">
        <v>46214</v>
      </c>
      <c r="I37" s="32">
        <v>46245</v>
      </c>
      <c r="J37" s="1">
        <v>22</v>
      </c>
      <c r="K37" s="4">
        <v>1000</v>
      </c>
      <c r="M37" s="4" t="s">
        <v>39</v>
      </c>
      <c r="N37" s="6">
        <v>46214</v>
      </c>
      <c r="O37" s="1">
        <v>50</v>
      </c>
      <c r="P37" s="4">
        <v>345.04</v>
      </c>
      <c r="Q37" s="4">
        <v>345.04</v>
      </c>
      <c r="R37" s="4">
        <f>IF(
    OR(Dashboard_Query[[#This Row],[Monthly Allowance]]="",Dashboard_Query[[#This Row],[Current Usage]]=""),
    "",
    MAX(0,Dashboard_Query[[#This Row],[Monthly Allowance]]-Dashboard_Query[[#This Row],[Current Usage]])
)</f>
        <v>654.96</v>
      </c>
      <c r="S37" s="9">
        <f>IF(OR(Dashboard_Query[[#This Row],[Monthly Allowance]]="",Dashboard_Query[[#This Row],[Current Usage]]=""),"",Dashboard_Query[[#This Row],[Current Usage]]/Dashboard_Query[[#This Row],[Monthly Allowance]])</f>
        <v>0.34504000000000001</v>
      </c>
      <c r="T37" s="9">
        <f>IF(Dashboard_Query[[#This Row],[% Used]]="","",1-Dashboard_Query[[#This Row],[% Used]])</f>
        <v>0.65495999999999999</v>
      </c>
      <c r="U37" s="4">
        <f>IF(OR(Dashboard_Query[[#This Row],[Monthly Allowance]]="",Dashboard_Query[[#This Row],[Current Usage]]=""),"",MAX(0,Dashboard_Query[[#This Row],[Current Usage]]-Dashboard_Query[[#This Row],[Monthly Allowance]]))</f>
        <v>0</v>
      </c>
      <c r="V37" s="4" t="str">
        <f>IF(Dashboard_Query[[#This Row],[Monthly Allowance]]="","",IF(Dashboard_Query[[#This Row],[Overage]]&gt;0,"OVER",IF(Dashboard_Query[[#This Row],[% Used]]&gt;=0.8,"WARNING","OK")))</f>
        <v>OK</v>
      </c>
      <c r="W37" s="1"/>
      <c r="X37" s="1"/>
    </row>
    <row r="38" spans="1:24">
      <c r="A38" s="4" t="s">
        <v>83</v>
      </c>
      <c r="B38" s="4">
        <v>814482</v>
      </c>
      <c r="C38" s="4" t="s">
        <v>60</v>
      </c>
      <c r="D38" s="4" t="s">
        <v>61</v>
      </c>
      <c r="E38" s="4" t="s">
        <v>62</v>
      </c>
      <c r="F38" s="4">
        <v>211121008</v>
      </c>
      <c r="G38" s="6">
        <v>46216</v>
      </c>
      <c r="H38" s="6">
        <v>46216</v>
      </c>
      <c r="I38" s="32">
        <v>46247</v>
      </c>
      <c r="J38" s="1">
        <v>24</v>
      </c>
      <c r="K38" s="4">
        <v>500</v>
      </c>
      <c r="M38" s="4" t="s">
        <v>39</v>
      </c>
      <c r="N38" s="6">
        <v>46216</v>
      </c>
      <c r="O38" s="1">
        <v>50</v>
      </c>
      <c r="P38" s="4">
        <v>10.210000000000001</v>
      </c>
      <c r="Q38" s="4">
        <v>10.210000000000001</v>
      </c>
      <c r="R38" s="4">
        <f>IF(
    OR(Dashboard_Query[[#This Row],[Monthly Allowance]]="",Dashboard_Query[[#This Row],[Current Usage]]=""),
    "",
    MAX(0,Dashboard_Query[[#This Row],[Monthly Allowance]]-Dashboard_Query[[#This Row],[Current Usage]])
)</f>
        <v>489.79</v>
      </c>
      <c r="S38" s="9">
        <f>IF(OR(Dashboard_Query[[#This Row],[Monthly Allowance]]="",Dashboard_Query[[#This Row],[Current Usage]]=""),"",Dashboard_Query[[#This Row],[Current Usage]]/Dashboard_Query[[#This Row],[Monthly Allowance]])</f>
        <v>2.0420000000000001E-2</v>
      </c>
      <c r="T38" s="9">
        <f>IF(Dashboard_Query[[#This Row],[% Used]]="","",1-Dashboard_Query[[#This Row],[% Used]])</f>
        <v>0.97958000000000001</v>
      </c>
      <c r="U38" s="4">
        <f>IF(OR(Dashboard_Query[[#This Row],[Monthly Allowance]]="",Dashboard_Query[[#This Row],[Current Usage]]=""),"",MAX(0,Dashboard_Query[[#This Row],[Current Usage]]-Dashboard_Query[[#This Row],[Monthly Allowance]]))</f>
        <v>0</v>
      </c>
      <c r="V38" s="4" t="str">
        <f>IF(Dashboard_Query[[#This Row],[Monthly Allowance]]="","",IF(Dashboard_Query[[#This Row],[Overage]]&gt;0,"OVER",IF(Dashboard_Query[[#This Row],[% Used]]&gt;=0.8,"WARNING","OK")))</f>
        <v>OK</v>
      </c>
      <c r="W38" s="1"/>
      <c r="X38" s="1"/>
    </row>
    <row r="39" spans="1:24">
      <c r="A39" s="4" t="s">
        <v>84</v>
      </c>
      <c r="B39" s="4">
        <v>809611</v>
      </c>
      <c r="C39" s="4" t="s">
        <v>54</v>
      </c>
      <c r="D39" s="4" t="s">
        <v>55</v>
      </c>
      <c r="E39" s="4" t="s">
        <v>56</v>
      </c>
      <c r="F39" s="4">
        <v>211120934</v>
      </c>
      <c r="G39" s="6">
        <v>46214</v>
      </c>
      <c r="H39" s="6">
        <v>46214</v>
      </c>
      <c r="I39" s="32">
        <v>46245</v>
      </c>
      <c r="J39" s="1">
        <v>22</v>
      </c>
      <c r="K39" s="4">
        <v>500</v>
      </c>
      <c r="M39" s="4" t="s">
        <v>39</v>
      </c>
      <c r="N39" s="6">
        <v>46214</v>
      </c>
      <c r="O39" s="1">
        <v>500</v>
      </c>
      <c r="P39" s="4">
        <v>28.99</v>
      </c>
      <c r="Q39" s="4">
        <v>28.99</v>
      </c>
      <c r="R39" s="4">
        <f>IF(
    OR(Dashboard_Query[[#This Row],[Monthly Allowance]]="",Dashboard_Query[[#This Row],[Current Usage]]=""),
    "",
    MAX(0,Dashboard_Query[[#This Row],[Monthly Allowance]]-Dashboard_Query[[#This Row],[Current Usage]])
)</f>
        <v>471.01</v>
      </c>
      <c r="S39" s="9">
        <f>IF(OR(Dashboard_Query[[#This Row],[Monthly Allowance]]="",Dashboard_Query[[#This Row],[Current Usage]]=""),"",Dashboard_Query[[#This Row],[Current Usage]]/Dashboard_Query[[#This Row],[Monthly Allowance]])</f>
        <v>5.7979999999999997E-2</v>
      </c>
      <c r="T39" s="9">
        <f>IF(Dashboard_Query[[#This Row],[% Used]]="","",1-Dashboard_Query[[#This Row],[% Used]])</f>
        <v>0.94201999999999997</v>
      </c>
      <c r="U39" s="4">
        <f>IF(OR(Dashboard_Query[[#This Row],[Monthly Allowance]]="",Dashboard_Query[[#This Row],[Current Usage]]=""),"",MAX(0,Dashboard_Query[[#This Row],[Current Usage]]-Dashboard_Query[[#This Row],[Monthly Allowance]]))</f>
        <v>0</v>
      </c>
      <c r="V39" s="4" t="str">
        <f>IF(Dashboard_Query[[#This Row],[Monthly Allowance]]="","",IF(Dashboard_Query[[#This Row],[Overage]]&gt;0,"OVER",IF(Dashboard_Query[[#This Row],[% Used]]&gt;=0.8,"WARNING","OK")))</f>
        <v>OK</v>
      </c>
      <c r="W39" s="1"/>
      <c r="X39" s="1"/>
    </row>
    <row r="40" spans="1:24">
      <c r="A40" s="4" t="s">
        <v>85</v>
      </c>
      <c r="B40" s="4">
        <v>814471</v>
      </c>
      <c r="C40" s="4" t="s">
        <v>60</v>
      </c>
      <c r="D40" s="4" t="s">
        <v>61</v>
      </c>
      <c r="E40" s="4" t="s">
        <v>62</v>
      </c>
      <c r="F40" s="4">
        <v>211121008</v>
      </c>
      <c r="G40" s="6">
        <v>46216</v>
      </c>
      <c r="H40" s="6">
        <v>46216</v>
      </c>
      <c r="I40" s="32">
        <v>46247</v>
      </c>
      <c r="J40" s="1">
        <v>24</v>
      </c>
      <c r="K40" s="4">
        <v>500</v>
      </c>
      <c r="M40" s="4" t="s">
        <v>39</v>
      </c>
      <c r="N40" s="6">
        <v>46216</v>
      </c>
      <c r="O40" s="1">
        <v>50</v>
      </c>
      <c r="P40" s="4">
        <v>5.35</v>
      </c>
      <c r="Q40" s="4">
        <v>5.35</v>
      </c>
      <c r="R40" s="4">
        <f>IF(
    OR(Dashboard_Query[[#This Row],[Monthly Allowance]]="",Dashboard_Query[[#This Row],[Current Usage]]=""),
    "",
    MAX(0,Dashboard_Query[[#This Row],[Monthly Allowance]]-Dashboard_Query[[#This Row],[Current Usage]])
)</f>
        <v>494.65</v>
      </c>
      <c r="S40" s="9">
        <f>IF(OR(Dashboard_Query[[#This Row],[Monthly Allowance]]="",Dashboard_Query[[#This Row],[Current Usage]]=""),"",Dashboard_Query[[#This Row],[Current Usage]]/Dashboard_Query[[#This Row],[Monthly Allowance]])</f>
        <v>1.0699999999999999E-2</v>
      </c>
      <c r="T40" s="9">
        <f>IF(Dashboard_Query[[#This Row],[% Used]]="","",1-Dashboard_Query[[#This Row],[% Used]])</f>
        <v>0.98929999999999996</v>
      </c>
      <c r="U40" s="4">
        <f>IF(OR(Dashboard_Query[[#This Row],[Monthly Allowance]]="",Dashboard_Query[[#This Row],[Current Usage]]=""),"",MAX(0,Dashboard_Query[[#This Row],[Current Usage]]-Dashboard_Query[[#This Row],[Monthly Allowance]]))</f>
        <v>0</v>
      </c>
      <c r="V40" s="4" t="str">
        <f>IF(Dashboard_Query[[#This Row],[Monthly Allowance]]="","",IF(Dashboard_Query[[#This Row],[Overage]]&gt;0,"OVER",IF(Dashboard_Query[[#This Row],[% Used]]&gt;=0.8,"WARNING","OK")))</f>
        <v>OK</v>
      </c>
      <c r="W40" s="1"/>
      <c r="X40" s="1"/>
    </row>
    <row r="41" spans="1:24">
      <c r="A41" s="4" t="s">
        <v>86</v>
      </c>
      <c r="B41" s="4">
        <v>812930</v>
      </c>
      <c r="C41" s="4" t="s">
        <v>54</v>
      </c>
      <c r="D41" s="4" t="s">
        <v>55</v>
      </c>
      <c r="E41" s="4" t="s">
        <v>56</v>
      </c>
      <c r="F41" s="4">
        <v>211120934</v>
      </c>
      <c r="G41" s="6">
        <v>46214</v>
      </c>
      <c r="H41" s="6">
        <v>46214</v>
      </c>
      <c r="I41" s="32">
        <v>46245</v>
      </c>
      <c r="J41" s="1">
        <v>22</v>
      </c>
      <c r="K41" s="4">
        <v>1000</v>
      </c>
      <c r="M41" s="4" t="s">
        <v>39</v>
      </c>
      <c r="N41" s="6">
        <v>46214</v>
      </c>
      <c r="O41" s="1">
        <v>50</v>
      </c>
      <c r="P41" s="4">
        <v>333.81</v>
      </c>
      <c r="Q41" s="4">
        <v>333.81</v>
      </c>
      <c r="R41" s="4">
        <f>IF(
    OR(Dashboard_Query[[#This Row],[Monthly Allowance]]="",Dashboard_Query[[#This Row],[Current Usage]]=""),
    "",
    MAX(0,Dashboard_Query[[#This Row],[Monthly Allowance]]-Dashboard_Query[[#This Row],[Current Usage]])
)</f>
        <v>666.19</v>
      </c>
      <c r="S41" s="9">
        <f>IF(OR(Dashboard_Query[[#This Row],[Monthly Allowance]]="",Dashboard_Query[[#This Row],[Current Usage]]=""),"",Dashboard_Query[[#This Row],[Current Usage]]/Dashboard_Query[[#This Row],[Monthly Allowance]])</f>
        <v>0.33381</v>
      </c>
      <c r="T41" s="9">
        <f>IF(Dashboard_Query[[#This Row],[% Used]]="","",1-Dashboard_Query[[#This Row],[% Used]])</f>
        <v>0.66619000000000006</v>
      </c>
      <c r="U41" s="4">
        <f>IF(OR(Dashboard_Query[[#This Row],[Monthly Allowance]]="",Dashboard_Query[[#This Row],[Current Usage]]=""),"",MAX(0,Dashboard_Query[[#This Row],[Current Usage]]-Dashboard_Query[[#This Row],[Monthly Allowance]]))</f>
        <v>0</v>
      </c>
      <c r="V41" s="4" t="str">
        <f>IF(Dashboard_Query[[#This Row],[Monthly Allowance]]="","",IF(Dashboard_Query[[#This Row],[Overage]]&gt;0,"OVER",IF(Dashboard_Query[[#This Row],[% Used]]&gt;=0.8,"WARNING","OK")))</f>
        <v>OK</v>
      </c>
      <c r="W41" s="1"/>
      <c r="X41" s="1"/>
    </row>
    <row r="42" spans="1:24">
      <c r="A42" s="4" t="s">
        <v>87</v>
      </c>
      <c r="B42" s="4">
        <v>814486</v>
      </c>
      <c r="C42" s="4" t="s">
        <v>72</v>
      </c>
      <c r="D42" s="4" t="s">
        <v>55</v>
      </c>
      <c r="E42" s="4" t="s">
        <v>56</v>
      </c>
      <c r="F42" s="4">
        <v>211120994</v>
      </c>
      <c r="G42" s="6">
        <v>46216</v>
      </c>
      <c r="H42" s="6">
        <v>46216</v>
      </c>
      <c r="I42" s="32">
        <v>46247</v>
      </c>
      <c r="J42" s="1">
        <v>24</v>
      </c>
      <c r="K42" s="4">
        <v>500</v>
      </c>
      <c r="M42" s="4" t="s">
        <v>39</v>
      </c>
      <c r="N42" s="6">
        <v>46216</v>
      </c>
      <c r="O42" s="1">
        <v>50</v>
      </c>
      <c r="P42" s="4">
        <v>0.42</v>
      </c>
      <c r="Q42" s="4">
        <v>0.42</v>
      </c>
      <c r="R42" s="4">
        <f>IF(
    OR(Dashboard_Query[[#This Row],[Monthly Allowance]]="",Dashboard_Query[[#This Row],[Current Usage]]=""),
    "",
    MAX(0,Dashboard_Query[[#This Row],[Monthly Allowance]]-Dashboard_Query[[#This Row],[Current Usage]])
)</f>
        <v>499.58</v>
      </c>
      <c r="S42" s="9">
        <f>IF(OR(Dashboard_Query[[#This Row],[Monthly Allowance]]="",Dashboard_Query[[#This Row],[Current Usage]]=""),"",Dashboard_Query[[#This Row],[Current Usage]]/Dashboard_Query[[#This Row],[Monthly Allowance]])</f>
        <v>8.3999999999999993E-4</v>
      </c>
      <c r="T42" s="9">
        <f>IF(Dashboard_Query[[#This Row],[% Used]]="","",1-Dashboard_Query[[#This Row],[% Used]])</f>
        <v>0.99916000000000005</v>
      </c>
      <c r="U42" s="4">
        <f>IF(OR(Dashboard_Query[[#This Row],[Monthly Allowance]]="",Dashboard_Query[[#This Row],[Current Usage]]=""),"",MAX(0,Dashboard_Query[[#This Row],[Current Usage]]-Dashboard_Query[[#This Row],[Monthly Allowance]]))</f>
        <v>0</v>
      </c>
      <c r="V42" s="4" t="str">
        <f>IF(Dashboard_Query[[#This Row],[Monthly Allowance]]="","",IF(Dashboard_Query[[#This Row],[Overage]]&gt;0,"OVER",IF(Dashboard_Query[[#This Row],[% Used]]&gt;=0.8,"WARNING","OK")))</f>
        <v>OK</v>
      </c>
      <c r="W42" s="1"/>
      <c r="X42" s="1"/>
    </row>
    <row r="43" spans="1:24" hidden="1">
      <c r="A43" s="4" t="s">
        <v>88</v>
      </c>
      <c r="B43" s="4">
        <v>809612</v>
      </c>
      <c r="C43" s="4"/>
      <c r="D43" s="4"/>
      <c r="E43" s="4"/>
      <c r="F43" s="4"/>
      <c r="G43" s="6"/>
      <c r="H43" s="6"/>
      <c r="I43" s="32"/>
      <c r="J43" s="1"/>
      <c r="K43" s="4">
        <v>500</v>
      </c>
      <c r="M43" s="4" t="s">
        <v>74</v>
      </c>
      <c r="N43" s="6"/>
      <c r="O43" s="1">
        <v>500</v>
      </c>
      <c r="P43" s="4">
        <v>0</v>
      </c>
      <c r="Q43" s="4">
        <v>0</v>
      </c>
      <c r="R43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43" s="9">
        <f>IF(OR(Dashboard_Query[[#This Row],[Monthly Allowance]]="",Dashboard_Query[[#This Row],[Current Usage]]=""),"",Dashboard_Query[[#This Row],[Current Usage]]/Dashboard_Query[[#This Row],[Monthly Allowance]])</f>
        <v>0</v>
      </c>
      <c r="T43" s="9">
        <f>IF(Dashboard_Query[[#This Row],[% Used]]="","",1-Dashboard_Query[[#This Row],[% Used]])</f>
        <v>1</v>
      </c>
      <c r="U43" s="4">
        <f>IF(OR(Dashboard_Query[[#This Row],[Monthly Allowance]]="",Dashboard_Query[[#This Row],[Current Usage]]=""),"",MAX(0,Dashboard_Query[[#This Row],[Current Usage]]-Dashboard_Query[[#This Row],[Monthly Allowance]]))</f>
        <v>0</v>
      </c>
      <c r="V43" s="4" t="str">
        <f>IF(Dashboard_Query[[#This Row],[Monthly Allowance]]="","",IF(Dashboard_Query[[#This Row],[Overage]]&gt;0,"OVER",IF(Dashboard_Query[[#This Row],[% Used]]&gt;=0.8,"WARNING","OK")))</f>
        <v>OK</v>
      </c>
      <c r="W43" s="1"/>
      <c r="X43" s="1"/>
    </row>
    <row r="44" spans="1:24">
      <c r="A44" s="4" t="s">
        <v>89</v>
      </c>
      <c r="B44" s="4">
        <v>814462</v>
      </c>
      <c r="C44" s="4" t="s">
        <v>60</v>
      </c>
      <c r="D44" s="4" t="s">
        <v>61</v>
      </c>
      <c r="E44" s="4" t="s">
        <v>62</v>
      </c>
      <c r="F44" s="4">
        <v>211121008</v>
      </c>
      <c r="G44" s="6">
        <v>46216</v>
      </c>
      <c r="H44" s="6">
        <v>46216</v>
      </c>
      <c r="I44" s="32">
        <v>46247</v>
      </c>
      <c r="J44" s="1">
        <v>24</v>
      </c>
      <c r="K44" s="4">
        <v>500</v>
      </c>
      <c r="M44" s="4" t="s">
        <v>39</v>
      </c>
      <c r="N44" s="6">
        <v>46216</v>
      </c>
      <c r="O44" s="1">
        <v>50</v>
      </c>
      <c r="P44" s="4">
        <v>25.97</v>
      </c>
      <c r="Q44" s="4">
        <v>25.88</v>
      </c>
      <c r="R44" s="4">
        <f>IF(
    OR(Dashboard_Query[[#This Row],[Monthly Allowance]]="",Dashboard_Query[[#This Row],[Current Usage]]=""),
    "",
    MAX(0,Dashboard_Query[[#This Row],[Monthly Allowance]]-Dashboard_Query[[#This Row],[Current Usage]])
)</f>
        <v>474.12</v>
      </c>
      <c r="S44" s="9">
        <f>IF(OR(Dashboard_Query[[#This Row],[Monthly Allowance]]="",Dashboard_Query[[#This Row],[Current Usage]]=""),"",Dashboard_Query[[#This Row],[Current Usage]]/Dashboard_Query[[#This Row],[Monthly Allowance]])</f>
        <v>5.176E-2</v>
      </c>
      <c r="T44" s="9">
        <f>IF(Dashboard_Query[[#This Row],[% Used]]="","",1-Dashboard_Query[[#This Row],[% Used]])</f>
        <v>0.94823999999999997</v>
      </c>
      <c r="U44" s="4">
        <f>IF(OR(Dashboard_Query[[#This Row],[Monthly Allowance]]="",Dashboard_Query[[#This Row],[Current Usage]]=""),"",MAX(0,Dashboard_Query[[#This Row],[Current Usage]]-Dashboard_Query[[#This Row],[Monthly Allowance]]))</f>
        <v>0</v>
      </c>
      <c r="V44" s="4" t="str">
        <f>IF(Dashboard_Query[[#This Row],[Monthly Allowance]]="","",IF(Dashboard_Query[[#This Row],[Overage]]&gt;0,"OVER",IF(Dashboard_Query[[#This Row],[% Used]]&gt;=0.8,"WARNING","OK")))</f>
        <v>OK</v>
      </c>
      <c r="W44" s="1"/>
      <c r="X44" s="1"/>
    </row>
    <row r="45" spans="1:24">
      <c r="A45" s="4" t="s">
        <v>90</v>
      </c>
      <c r="B45" s="4">
        <v>812830</v>
      </c>
      <c r="C45" s="4" t="s">
        <v>47</v>
      </c>
      <c r="D45" s="4" t="s">
        <v>48</v>
      </c>
      <c r="E45" s="4" t="s">
        <v>49</v>
      </c>
      <c r="F45" s="4">
        <v>211120714</v>
      </c>
      <c r="G45" s="6">
        <v>46204</v>
      </c>
      <c r="H45" s="6">
        <v>46204</v>
      </c>
      <c r="I45" s="32">
        <v>46235</v>
      </c>
      <c r="J45" s="1">
        <v>12</v>
      </c>
      <c r="K45" s="4">
        <v>500</v>
      </c>
      <c r="M45" s="4" t="s">
        <v>39</v>
      </c>
      <c r="N45" s="6">
        <v>46204</v>
      </c>
      <c r="O45" s="1">
        <v>50</v>
      </c>
      <c r="P45" s="4">
        <v>296.56</v>
      </c>
      <c r="Q45" s="4">
        <v>296.56</v>
      </c>
      <c r="R45" s="4">
        <f>IF(
    OR(Dashboard_Query[[#This Row],[Monthly Allowance]]="",Dashboard_Query[[#This Row],[Current Usage]]=""),
    "",
    MAX(0,Dashboard_Query[[#This Row],[Monthly Allowance]]-Dashboard_Query[[#This Row],[Current Usage]])
)</f>
        <v>203.44</v>
      </c>
      <c r="S45" s="9">
        <f>IF(OR(Dashboard_Query[[#This Row],[Monthly Allowance]]="",Dashboard_Query[[#This Row],[Current Usage]]=""),"",Dashboard_Query[[#This Row],[Current Usage]]/Dashboard_Query[[#This Row],[Monthly Allowance]])</f>
        <v>0.59311999999999998</v>
      </c>
      <c r="T45" s="9">
        <f>IF(Dashboard_Query[[#This Row],[% Used]]="","",1-Dashboard_Query[[#This Row],[% Used]])</f>
        <v>0.40688000000000002</v>
      </c>
      <c r="U45" s="4">
        <f>IF(OR(Dashboard_Query[[#This Row],[Monthly Allowance]]="",Dashboard_Query[[#This Row],[Current Usage]]=""),"",MAX(0,Dashboard_Query[[#This Row],[Current Usage]]-Dashboard_Query[[#This Row],[Monthly Allowance]]))</f>
        <v>0</v>
      </c>
      <c r="V45" s="4" t="str">
        <f>IF(Dashboard_Query[[#This Row],[Monthly Allowance]]="","",IF(Dashboard_Query[[#This Row],[Overage]]&gt;0,"OVER",IF(Dashboard_Query[[#This Row],[% Used]]&gt;=0.8,"WARNING","OK")))</f>
        <v>OK</v>
      </c>
      <c r="W45" s="1"/>
      <c r="X45" s="1"/>
    </row>
    <row r="46" spans="1:24">
      <c r="A46" s="4" t="s">
        <v>91</v>
      </c>
      <c r="B46" s="4">
        <v>814470</v>
      </c>
      <c r="C46" s="4" t="s">
        <v>60</v>
      </c>
      <c r="D46" s="4" t="s">
        <v>61</v>
      </c>
      <c r="E46" s="4" t="s">
        <v>62</v>
      </c>
      <c r="F46" s="4">
        <v>211121008</v>
      </c>
      <c r="G46" s="6">
        <v>46216</v>
      </c>
      <c r="H46" s="6">
        <v>46216</v>
      </c>
      <c r="I46" s="32">
        <v>46247</v>
      </c>
      <c r="J46" s="1">
        <v>24</v>
      </c>
      <c r="K46" s="4">
        <v>500</v>
      </c>
      <c r="M46" s="4" t="s">
        <v>39</v>
      </c>
      <c r="N46" s="6">
        <v>46216</v>
      </c>
      <c r="O46" s="1">
        <v>50</v>
      </c>
      <c r="P46" s="4">
        <v>52.65</v>
      </c>
      <c r="Q46" s="4">
        <v>52.65</v>
      </c>
      <c r="R46" s="4">
        <f>IF(
    OR(Dashboard_Query[[#This Row],[Monthly Allowance]]="",Dashboard_Query[[#This Row],[Current Usage]]=""),
    "",
    MAX(0,Dashboard_Query[[#This Row],[Monthly Allowance]]-Dashboard_Query[[#This Row],[Current Usage]])
)</f>
        <v>447.35</v>
      </c>
      <c r="S46" s="9">
        <f>IF(OR(Dashboard_Query[[#This Row],[Monthly Allowance]]="",Dashboard_Query[[#This Row],[Current Usage]]=""),"",Dashboard_Query[[#This Row],[Current Usage]]/Dashboard_Query[[#This Row],[Monthly Allowance]])</f>
        <v>0.10529999999999999</v>
      </c>
      <c r="T46" s="9">
        <f>IF(Dashboard_Query[[#This Row],[% Used]]="","",1-Dashboard_Query[[#This Row],[% Used]])</f>
        <v>0.89470000000000005</v>
      </c>
      <c r="U46" s="4">
        <f>IF(OR(Dashboard_Query[[#This Row],[Monthly Allowance]]="",Dashboard_Query[[#This Row],[Current Usage]]=""),"",MAX(0,Dashboard_Query[[#This Row],[Current Usage]]-Dashboard_Query[[#This Row],[Monthly Allowance]]))</f>
        <v>0</v>
      </c>
      <c r="V46" s="4" t="str">
        <f>IF(Dashboard_Query[[#This Row],[Monthly Allowance]]="","",IF(Dashboard_Query[[#This Row],[Overage]]&gt;0,"OVER",IF(Dashboard_Query[[#This Row],[% Used]]&gt;=0.8,"WARNING","OK")))</f>
        <v>OK</v>
      </c>
      <c r="W46" s="1"/>
      <c r="X46" s="1"/>
    </row>
    <row r="47" spans="1:24" hidden="1">
      <c r="A47" s="4" t="s">
        <v>92</v>
      </c>
      <c r="B47" s="4">
        <v>809613</v>
      </c>
      <c r="C47" s="4"/>
      <c r="D47" s="4"/>
      <c r="E47" s="4"/>
      <c r="F47" s="4"/>
      <c r="G47" s="6"/>
      <c r="H47" s="6"/>
      <c r="I47" s="32"/>
      <c r="J47" s="1"/>
      <c r="K47" s="4">
        <v>500</v>
      </c>
      <c r="M47" s="4" t="s">
        <v>74</v>
      </c>
      <c r="N47" s="6"/>
      <c r="O47" s="1">
        <v>500</v>
      </c>
      <c r="P47" s="4">
        <v>0</v>
      </c>
      <c r="Q47" s="4">
        <v>0</v>
      </c>
      <c r="R47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47" s="9">
        <f>IF(OR(Dashboard_Query[[#This Row],[Monthly Allowance]]="",Dashboard_Query[[#This Row],[Current Usage]]=""),"",Dashboard_Query[[#This Row],[Current Usage]]/Dashboard_Query[[#This Row],[Monthly Allowance]])</f>
        <v>0</v>
      </c>
      <c r="T47" s="9">
        <f>IF(Dashboard_Query[[#This Row],[% Used]]="","",1-Dashboard_Query[[#This Row],[% Used]])</f>
        <v>1</v>
      </c>
      <c r="U47" s="4">
        <f>IF(OR(Dashboard_Query[[#This Row],[Monthly Allowance]]="",Dashboard_Query[[#This Row],[Current Usage]]=""),"",MAX(0,Dashboard_Query[[#This Row],[Current Usage]]-Dashboard_Query[[#This Row],[Monthly Allowance]]))</f>
        <v>0</v>
      </c>
      <c r="V47" s="4" t="str">
        <f>IF(Dashboard_Query[[#This Row],[Monthly Allowance]]="","",IF(Dashboard_Query[[#This Row],[Overage]]&gt;0,"OVER",IF(Dashboard_Query[[#This Row],[% Used]]&gt;=0.8,"WARNING","OK")))</f>
        <v>OK</v>
      </c>
      <c r="W47" s="1"/>
      <c r="X47" s="1"/>
    </row>
    <row r="48" spans="1:24">
      <c r="A48" s="4" t="s">
        <v>93</v>
      </c>
      <c r="B48" s="4">
        <v>814479</v>
      </c>
      <c r="C48" s="4" t="s">
        <v>60</v>
      </c>
      <c r="D48" s="4" t="s">
        <v>61</v>
      </c>
      <c r="E48" s="4" t="s">
        <v>62</v>
      </c>
      <c r="F48" s="4">
        <v>211121008</v>
      </c>
      <c r="G48" s="6">
        <v>46216</v>
      </c>
      <c r="H48" s="6">
        <v>46216</v>
      </c>
      <c r="I48" s="32">
        <v>46247</v>
      </c>
      <c r="J48" s="1">
        <v>24</v>
      </c>
      <c r="K48" s="4">
        <v>500</v>
      </c>
      <c r="M48" s="4" t="s">
        <v>39</v>
      </c>
      <c r="N48" s="6">
        <v>46216</v>
      </c>
      <c r="O48" s="1">
        <v>50</v>
      </c>
      <c r="P48" s="4">
        <v>11.71</v>
      </c>
      <c r="Q48" s="4">
        <v>11.71</v>
      </c>
      <c r="R48" s="4">
        <f>IF(
    OR(Dashboard_Query[[#This Row],[Monthly Allowance]]="",Dashboard_Query[[#This Row],[Current Usage]]=""),
    "",
    MAX(0,Dashboard_Query[[#This Row],[Monthly Allowance]]-Dashboard_Query[[#This Row],[Current Usage]])
)</f>
        <v>488.29</v>
      </c>
      <c r="S48" s="9">
        <f>IF(OR(Dashboard_Query[[#This Row],[Monthly Allowance]]="",Dashboard_Query[[#This Row],[Current Usage]]=""),"",Dashboard_Query[[#This Row],[Current Usage]]/Dashboard_Query[[#This Row],[Monthly Allowance]])</f>
        <v>2.3420000000000003E-2</v>
      </c>
      <c r="T48" s="9">
        <f>IF(Dashboard_Query[[#This Row],[% Used]]="","",1-Dashboard_Query[[#This Row],[% Used]])</f>
        <v>0.97658</v>
      </c>
      <c r="U48" s="4">
        <f>IF(OR(Dashboard_Query[[#This Row],[Monthly Allowance]]="",Dashboard_Query[[#This Row],[Current Usage]]=""),"",MAX(0,Dashboard_Query[[#This Row],[Current Usage]]-Dashboard_Query[[#This Row],[Monthly Allowance]]))</f>
        <v>0</v>
      </c>
      <c r="V48" s="4" t="str">
        <f>IF(Dashboard_Query[[#This Row],[Monthly Allowance]]="","",IF(Dashboard_Query[[#This Row],[Overage]]&gt;0,"OVER",IF(Dashboard_Query[[#This Row],[% Used]]&gt;=0.8,"WARNING","OK")))</f>
        <v>OK</v>
      </c>
      <c r="W48" s="1"/>
      <c r="X48" s="1"/>
    </row>
    <row r="49" spans="1:24" hidden="1">
      <c r="A49" s="4" t="s">
        <v>94</v>
      </c>
      <c r="B49" s="4">
        <v>809614</v>
      </c>
      <c r="C49" s="4"/>
      <c r="D49" s="4"/>
      <c r="E49" s="4"/>
      <c r="F49" s="4"/>
      <c r="G49" s="6"/>
      <c r="H49" s="6"/>
      <c r="I49" s="32"/>
      <c r="J49" s="1"/>
      <c r="K49" s="4">
        <v>500</v>
      </c>
      <c r="M49" s="4" t="s">
        <v>74</v>
      </c>
      <c r="N49" s="6"/>
      <c r="O49" s="1">
        <v>500</v>
      </c>
      <c r="P49" s="4">
        <v>0</v>
      </c>
      <c r="Q49" s="4">
        <v>0</v>
      </c>
      <c r="R49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49" s="9">
        <f>IF(OR(Dashboard_Query[[#This Row],[Monthly Allowance]]="",Dashboard_Query[[#This Row],[Current Usage]]=""),"",Dashboard_Query[[#This Row],[Current Usage]]/Dashboard_Query[[#This Row],[Monthly Allowance]])</f>
        <v>0</v>
      </c>
      <c r="T49" s="9">
        <f>IF(Dashboard_Query[[#This Row],[% Used]]="","",1-Dashboard_Query[[#This Row],[% Used]])</f>
        <v>1</v>
      </c>
      <c r="U49" s="4">
        <f>IF(OR(Dashboard_Query[[#This Row],[Monthly Allowance]]="",Dashboard_Query[[#This Row],[Current Usage]]=""),"",MAX(0,Dashboard_Query[[#This Row],[Current Usage]]-Dashboard_Query[[#This Row],[Monthly Allowance]]))</f>
        <v>0</v>
      </c>
      <c r="V49" s="4" t="str">
        <f>IF(Dashboard_Query[[#This Row],[Monthly Allowance]]="","",IF(Dashboard_Query[[#This Row],[Overage]]&gt;0,"OVER",IF(Dashboard_Query[[#This Row],[% Used]]&gt;=0.8,"WARNING","OK")))</f>
        <v>OK</v>
      </c>
      <c r="W49" s="1"/>
      <c r="X49" s="1"/>
    </row>
    <row r="50" spans="1:24">
      <c r="A50" s="4" t="s">
        <v>95</v>
      </c>
      <c r="B50" s="4">
        <v>814488</v>
      </c>
      <c r="C50" s="4" t="s">
        <v>72</v>
      </c>
      <c r="D50" s="4" t="s">
        <v>55</v>
      </c>
      <c r="E50" s="4" t="s">
        <v>56</v>
      </c>
      <c r="F50" s="4">
        <v>211120994</v>
      </c>
      <c r="G50" s="6">
        <v>46216</v>
      </c>
      <c r="H50" s="6">
        <v>46216</v>
      </c>
      <c r="I50" s="32">
        <v>46247</v>
      </c>
      <c r="J50" s="1">
        <v>24</v>
      </c>
      <c r="K50" s="4">
        <v>500</v>
      </c>
      <c r="M50" s="4" t="s">
        <v>39</v>
      </c>
      <c r="N50" s="6">
        <v>46216</v>
      </c>
      <c r="O50" s="1">
        <v>50</v>
      </c>
      <c r="P50" s="4">
        <v>21.95</v>
      </c>
      <c r="Q50" s="4">
        <v>21.95</v>
      </c>
      <c r="R50" s="4">
        <f>IF(
    OR(Dashboard_Query[[#This Row],[Monthly Allowance]]="",Dashboard_Query[[#This Row],[Current Usage]]=""),
    "",
    MAX(0,Dashboard_Query[[#This Row],[Monthly Allowance]]-Dashboard_Query[[#This Row],[Current Usage]])
)</f>
        <v>478.05</v>
      </c>
      <c r="S50" s="9">
        <f>IF(OR(Dashboard_Query[[#This Row],[Monthly Allowance]]="",Dashboard_Query[[#This Row],[Current Usage]]=""),"",Dashboard_Query[[#This Row],[Current Usage]]/Dashboard_Query[[#This Row],[Monthly Allowance]])</f>
        <v>4.3900000000000002E-2</v>
      </c>
      <c r="T50" s="9">
        <f>IF(Dashboard_Query[[#This Row],[% Used]]="","",1-Dashboard_Query[[#This Row],[% Used]])</f>
        <v>0.95609999999999995</v>
      </c>
      <c r="U50" s="4">
        <f>IF(OR(Dashboard_Query[[#This Row],[Monthly Allowance]]="",Dashboard_Query[[#This Row],[Current Usage]]=""),"",MAX(0,Dashboard_Query[[#This Row],[Current Usage]]-Dashboard_Query[[#This Row],[Monthly Allowance]]))</f>
        <v>0</v>
      </c>
      <c r="V50" s="4" t="str">
        <f>IF(Dashboard_Query[[#This Row],[Monthly Allowance]]="","",IF(Dashboard_Query[[#This Row],[Overage]]&gt;0,"OVER",IF(Dashboard_Query[[#This Row],[% Used]]&gt;=0.8,"WARNING","OK")))</f>
        <v>OK</v>
      </c>
      <c r="W50" s="1"/>
      <c r="X50" s="1"/>
    </row>
    <row r="51" spans="1:24">
      <c r="A51" s="4" t="s">
        <v>96</v>
      </c>
      <c r="B51" s="4">
        <v>812844</v>
      </c>
      <c r="C51" s="4" t="s">
        <v>47</v>
      </c>
      <c r="D51" s="4" t="s">
        <v>48</v>
      </c>
      <c r="E51" s="4" t="s">
        <v>49</v>
      </c>
      <c r="F51" s="4">
        <v>211120714</v>
      </c>
      <c r="G51" s="6">
        <v>46204</v>
      </c>
      <c r="H51" s="6">
        <v>46204</v>
      </c>
      <c r="I51" s="32">
        <v>46235</v>
      </c>
      <c r="J51" s="1">
        <v>12</v>
      </c>
      <c r="K51" s="4">
        <v>500</v>
      </c>
      <c r="M51" s="4" t="s">
        <v>39</v>
      </c>
      <c r="N51" s="6">
        <v>46204</v>
      </c>
      <c r="O51" s="1">
        <v>500</v>
      </c>
      <c r="P51" s="4">
        <v>273.95</v>
      </c>
      <c r="Q51" s="4">
        <v>273.95</v>
      </c>
      <c r="R51" s="4">
        <f>IF(
    OR(Dashboard_Query[[#This Row],[Monthly Allowance]]="",Dashboard_Query[[#This Row],[Current Usage]]=""),
    "",
    MAX(0,Dashboard_Query[[#This Row],[Monthly Allowance]]-Dashboard_Query[[#This Row],[Current Usage]])
)</f>
        <v>226.05</v>
      </c>
      <c r="S51" s="9">
        <f>IF(OR(Dashboard_Query[[#This Row],[Monthly Allowance]]="",Dashboard_Query[[#This Row],[Current Usage]]=""),"",Dashboard_Query[[#This Row],[Current Usage]]/Dashboard_Query[[#This Row],[Monthly Allowance]])</f>
        <v>0.54789999999999994</v>
      </c>
      <c r="T51" s="9">
        <f>IF(Dashboard_Query[[#This Row],[% Used]]="","",1-Dashboard_Query[[#This Row],[% Used]])</f>
        <v>0.45210000000000006</v>
      </c>
      <c r="U51" s="4">
        <f>IF(OR(Dashboard_Query[[#This Row],[Monthly Allowance]]="",Dashboard_Query[[#This Row],[Current Usage]]=""),"",MAX(0,Dashboard_Query[[#This Row],[Current Usage]]-Dashboard_Query[[#This Row],[Monthly Allowance]]))</f>
        <v>0</v>
      </c>
      <c r="V51" s="4" t="str">
        <f>IF(Dashboard_Query[[#This Row],[Monthly Allowance]]="","",IF(Dashboard_Query[[#This Row],[Overage]]&gt;0,"OVER",IF(Dashboard_Query[[#This Row],[% Used]]&gt;=0.8,"WARNING","OK")))</f>
        <v>OK</v>
      </c>
      <c r="W51" s="1"/>
      <c r="X51" s="1"/>
    </row>
    <row r="52" spans="1:24">
      <c r="A52" s="4" t="s">
        <v>97</v>
      </c>
      <c r="B52" s="4">
        <v>814432</v>
      </c>
      <c r="C52" s="4" t="s">
        <v>60</v>
      </c>
      <c r="D52" s="4" t="s">
        <v>61</v>
      </c>
      <c r="E52" s="4" t="s">
        <v>62</v>
      </c>
      <c r="F52" s="4">
        <v>211121008</v>
      </c>
      <c r="G52" s="6">
        <v>46216</v>
      </c>
      <c r="H52" s="6">
        <v>46216</v>
      </c>
      <c r="I52" s="32">
        <v>46247</v>
      </c>
      <c r="J52" s="1">
        <v>24</v>
      </c>
      <c r="K52" s="4">
        <v>500</v>
      </c>
      <c r="M52" s="4" t="s">
        <v>39</v>
      </c>
      <c r="N52" s="6">
        <v>46216</v>
      </c>
      <c r="O52" s="1">
        <v>50</v>
      </c>
      <c r="P52" s="4">
        <v>101.49</v>
      </c>
      <c r="Q52" s="4">
        <v>101.33</v>
      </c>
      <c r="R52" s="4">
        <f>IF(
    OR(Dashboard_Query[[#This Row],[Monthly Allowance]]="",Dashboard_Query[[#This Row],[Current Usage]]=""),
    "",
    MAX(0,Dashboard_Query[[#This Row],[Monthly Allowance]]-Dashboard_Query[[#This Row],[Current Usage]])
)</f>
        <v>398.67</v>
      </c>
      <c r="S52" s="9">
        <f>IF(OR(Dashboard_Query[[#This Row],[Monthly Allowance]]="",Dashboard_Query[[#This Row],[Current Usage]]=""),"",Dashboard_Query[[#This Row],[Current Usage]]/Dashboard_Query[[#This Row],[Monthly Allowance]])</f>
        <v>0.20266000000000001</v>
      </c>
      <c r="T52" s="9">
        <f>IF(Dashboard_Query[[#This Row],[% Used]]="","",1-Dashboard_Query[[#This Row],[% Used]])</f>
        <v>0.79733999999999994</v>
      </c>
      <c r="U52" s="4">
        <f>IF(OR(Dashboard_Query[[#This Row],[Monthly Allowance]]="",Dashboard_Query[[#This Row],[Current Usage]]=""),"",MAX(0,Dashboard_Query[[#This Row],[Current Usage]]-Dashboard_Query[[#This Row],[Monthly Allowance]]))</f>
        <v>0</v>
      </c>
      <c r="V52" s="4" t="str">
        <f>IF(Dashboard_Query[[#This Row],[Monthly Allowance]]="","",IF(Dashboard_Query[[#This Row],[Overage]]&gt;0,"OVER",IF(Dashboard_Query[[#This Row],[% Used]]&gt;=0.8,"WARNING","OK")))</f>
        <v>OK</v>
      </c>
      <c r="W52" s="1"/>
      <c r="X52" s="1"/>
    </row>
    <row r="53" spans="1:24" hidden="1">
      <c r="A53" s="4" t="s">
        <v>98</v>
      </c>
      <c r="B53" s="4">
        <v>809615</v>
      </c>
      <c r="C53" s="4"/>
      <c r="D53" s="4"/>
      <c r="E53" s="4"/>
      <c r="F53" s="4"/>
      <c r="G53" s="6"/>
      <c r="H53" s="6"/>
      <c r="I53" s="32"/>
      <c r="J53" s="1"/>
      <c r="K53" s="4">
        <v>500</v>
      </c>
      <c r="M53" s="4" t="s">
        <v>74</v>
      </c>
      <c r="N53" s="6"/>
      <c r="O53" s="1">
        <v>500</v>
      </c>
      <c r="P53" s="4">
        <v>0</v>
      </c>
      <c r="Q53" s="4">
        <v>0</v>
      </c>
      <c r="R53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53" s="9">
        <f>IF(OR(Dashboard_Query[[#This Row],[Monthly Allowance]]="",Dashboard_Query[[#This Row],[Current Usage]]=""),"",Dashboard_Query[[#This Row],[Current Usage]]/Dashboard_Query[[#This Row],[Monthly Allowance]])</f>
        <v>0</v>
      </c>
      <c r="T53" s="9">
        <f>IF(Dashboard_Query[[#This Row],[% Used]]="","",1-Dashboard_Query[[#This Row],[% Used]])</f>
        <v>1</v>
      </c>
      <c r="U53" s="4">
        <f>IF(OR(Dashboard_Query[[#This Row],[Monthly Allowance]]="",Dashboard_Query[[#This Row],[Current Usage]]=""),"",MAX(0,Dashboard_Query[[#This Row],[Current Usage]]-Dashboard_Query[[#This Row],[Monthly Allowance]]))</f>
        <v>0</v>
      </c>
      <c r="V53" s="4" t="str">
        <f>IF(Dashboard_Query[[#This Row],[Monthly Allowance]]="","",IF(Dashboard_Query[[#This Row],[Overage]]&gt;0,"OVER",IF(Dashboard_Query[[#This Row],[% Used]]&gt;=0.8,"WARNING","OK")))</f>
        <v>OK</v>
      </c>
      <c r="W53" s="1"/>
      <c r="X53" s="1"/>
    </row>
    <row r="54" spans="1:24">
      <c r="A54" s="4" t="s">
        <v>99</v>
      </c>
      <c r="B54" s="4">
        <v>814433</v>
      </c>
      <c r="C54" s="4" t="s">
        <v>60</v>
      </c>
      <c r="D54" s="4" t="s">
        <v>61</v>
      </c>
      <c r="E54" s="4" t="s">
        <v>62</v>
      </c>
      <c r="F54" s="4">
        <v>211121030</v>
      </c>
      <c r="G54" s="6">
        <v>46217</v>
      </c>
      <c r="H54" s="6">
        <v>46217</v>
      </c>
      <c r="I54" s="32">
        <v>46248</v>
      </c>
      <c r="J54" s="1">
        <v>25</v>
      </c>
      <c r="K54" s="4">
        <v>500</v>
      </c>
      <c r="M54" s="4" t="s">
        <v>39</v>
      </c>
      <c r="N54" s="6">
        <v>46217</v>
      </c>
      <c r="O54" s="1">
        <v>50</v>
      </c>
      <c r="P54" s="4">
        <v>27.44</v>
      </c>
      <c r="Q54" s="4">
        <v>27.28</v>
      </c>
      <c r="R54" s="4">
        <f>IF(
    OR(Dashboard_Query[[#This Row],[Monthly Allowance]]="",Dashboard_Query[[#This Row],[Current Usage]]=""),
    "",
    MAX(0,Dashboard_Query[[#This Row],[Monthly Allowance]]-Dashboard_Query[[#This Row],[Current Usage]])
)</f>
        <v>472.72</v>
      </c>
      <c r="S54" s="9">
        <f>IF(OR(Dashboard_Query[[#This Row],[Monthly Allowance]]="",Dashboard_Query[[#This Row],[Current Usage]]=""),"",Dashboard_Query[[#This Row],[Current Usage]]/Dashboard_Query[[#This Row],[Monthly Allowance]])</f>
        <v>5.4560000000000004E-2</v>
      </c>
      <c r="T54" s="9">
        <f>IF(Dashboard_Query[[#This Row],[% Used]]="","",1-Dashboard_Query[[#This Row],[% Used]])</f>
        <v>0.94543999999999995</v>
      </c>
      <c r="U54" s="4">
        <f>IF(OR(Dashboard_Query[[#This Row],[Monthly Allowance]]="",Dashboard_Query[[#This Row],[Current Usage]]=""),"",MAX(0,Dashboard_Query[[#This Row],[Current Usage]]-Dashboard_Query[[#This Row],[Monthly Allowance]]))</f>
        <v>0</v>
      </c>
      <c r="V54" s="4" t="str">
        <f>IF(Dashboard_Query[[#This Row],[Monthly Allowance]]="","",IF(Dashboard_Query[[#This Row],[Overage]]&gt;0,"OVER",IF(Dashboard_Query[[#This Row],[% Used]]&gt;=0.8,"WARNING","OK")))</f>
        <v>OK</v>
      </c>
      <c r="W54" s="1"/>
      <c r="X54" s="1"/>
    </row>
    <row r="55" spans="1:24">
      <c r="A55" s="4" t="s">
        <v>100</v>
      </c>
      <c r="B55" s="4">
        <v>812835</v>
      </c>
      <c r="C55" s="4" t="s">
        <v>47</v>
      </c>
      <c r="D55" s="4" t="s">
        <v>48</v>
      </c>
      <c r="E55" s="4" t="s">
        <v>49</v>
      </c>
      <c r="F55" s="4">
        <v>211120714</v>
      </c>
      <c r="G55" s="6">
        <v>46204</v>
      </c>
      <c r="H55" s="6">
        <v>46204</v>
      </c>
      <c r="I55" s="32">
        <v>46235</v>
      </c>
      <c r="J55" s="1">
        <v>12</v>
      </c>
      <c r="K55" s="4">
        <v>500</v>
      </c>
      <c r="M55" s="4" t="s">
        <v>39</v>
      </c>
      <c r="N55" s="6">
        <v>46204</v>
      </c>
      <c r="O55" s="1">
        <v>500</v>
      </c>
      <c r="P55" s="4">
        <v>256.83999999999997</v>
      </c>
      <c r="Q55" s="4">
        <v>256.83999999999997</v>
      </c>
      <c r="R55" s="4">
        <f>IF(
    OR(Dashboard_Query[[#This Row],[Monthly Allowance]]="",Dashboard_Query[[#This Row],[Current Usage]]=""),
    "",
    MAX(0,Dashboard_Query[[#This Row],[Monthly Allowance]]-Dashboard_Query[[#This Row],[Current Usage]])
)</f>
        <v>243.16000000000003</v>
      </c>
      <c r="S55" s="9">
        <f>IF(OR(Dashboard_Query[[#This Row],[Monthly Allowance]]="",Dashboard_Query[[#This Row],[Current Usage]]=""),"",Dashboard_Query[[#This Row],[Current Usage]]/Dashboard_Query[[#This Row],[Monthly Allowance]])</f>
        <v>0.51367999999999991</v>
      </c>
      <c r="T55" s="9">
        <f>IF(Dashboard_Query[[#This Row],[% Used]]="","",1-Dashboard_Query[[#This Row],[% Used]])</f>
        <v>0.48632000000000009</v>
      </c>
      <c r="U55" s="4">
        <f>IF(OR(Dashboard_Query[[#This Row],[Monthly Allowance]]="",Dashboard_Query[[#This Row],[Current Usage]]=""),"",MAX(0,Dashboard_Query[[#This Row],[Current Usage]]-Dashboard_Query[[#This Row],[Monthly Allowance]]))</f>
        <v>0</v>
      </c>
      <c r="V55" s="4" t="str">
        <f>IF(Dashboard_Query[[#This Row],[Monthly Allowance]]="","",IF(Dashboard_Query[[#This Row],[Overage]]&gt;0,"OVER",IF(Dashboard_Query[[#This Row],[% Used]]&gt;=0.8,"WARNING","OK")))</f>
        <v>OK</v>
      </c>
      <c r="W55" s="1"/>
      <c r="X55" s="1"/>
    </row>
    <row r="56" spans="1:24">
      <c r="A56" s="4" t="s">
        <v>101</v>
      </c>
      <c r="B56" s="4">
        <v>814461</v>
      </c>
      <c r="C56" s="4" t="s">
        <v>60</v>
      </c>
      <c r="D56" s="4" t="s">
        <v>61</v>
      </c>
      <c r="E56" s="4" t="s">
        <v>62</v>
      </c>
      <c r="F56" s="4">
        <v>211121030</v>
      </c>
      <c r="G56" s="6">
        <v>46217</v>
      </c>
      <c r="H56" s="6">
        <v>46217</v>
      </c>
      <c r="I56" s="32">
        <v>46248</v>
      </c>
      <c r="J56" s="1">
        <v>25</v>
      </c>
      <c r="K56" s="4">
        <v>500</v>
      </c>
      <c r="M56" s="4" t="s">
        <v>39</v>
      </c>
      <c r="N56" s="6">
        <v>46217</v>
      </c>
      <c r="O56" s="1">
        <v>50</v>
      </c>
      <c r="P56" s="4">
        <v>0.1</v>
      </c>
      <c r="Q56" s="4">
        <v>0</v>
      </c>
      <c r="R56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56" s="9">
        <f>IF(OR(Dashboard_Query[[#This Row],[Monthly Allowance]]="",Dashboard_Query[[#This Row],[Current Usage]]=""),"",Dashboard_Query[[#This Row],[Current Usage]]/Dashboard_Query[[#This Row],[Monthly Allowance]])</f>
        <v>0</v>
      </c>
      <c r="T56" s="9">
        <f>IF(Dashboard_Query[[#This Row],[% Used]]="","",1-Dashboard_Query[[#This Row],[% Used]])</f>
        <v>1</v>
      </c>
      <c r="U56" s="4">
        <f>IF(OR(Dashboard_Query[[#This Row],[Monthly Allowance]]="",Dashboard_Query[[#This Row],[Current Usage]]=""),"",MAX(0,Dashboard_Query[[#This Row],[Current Usage]]-Dashboard_Query[[#This Row],[Monthly Allowance]]))</f>
        <v>0</v>
      </c>
      <c r="V56" s="4" t="str">
        <f>IF(Dashboard_Query[[#This Row],[Monthly Allowance]]="","",IF(Dashboard_Query[[#This Row],[Overage]]&gt;0,"OVER",IF(Dashboard_Query[[#This Row],[% Used]]&gt;=0.8,"WARNING","OK")))</f>
        <v>OK</v>
      </c>
      <c r="W56" s="1"/>
      <c r="X56" s="1"/>
    </row>
    <row r="57" spans="1:24">
      <c r="A57" s="4" t="s">
        <v>102</v>
      </c>
      <c r="B57" s="4">
        <v>812845</v>
      </c>
      <c r="C57" s="4" t="s">
        <v>41</v>
      </c>
      <c r="D57" s="4" t="s">
        <v>42</v>
      </c>
      <c r="E57" s="4" t="s">
        <v>43</v>
      </c>
      <c r="F57" s="4">
        <v>211120721</v>
      </c>
      <c r="G57" s="6">
        <v>46204</v>
      </c>
      <c r="H57" s="6">
        <v>46204</v>
      </c>
      <c r="I57" s="32">
        <v>46235</v>
      </c>
      <c r="J57" s="1">
        <v>12</v>
      </c>
      <c r="K57" s="4">
        <v>500</v>
      </c>
      <c r="M57" s="4" t="s">
        <v>39</v>
      </c>
      <c r="N57" s="6">
        <v>46204</v>
      </c>
      <c r="O57" s="1">
        <v>50</v>
      </c>
      <c r="P57" s="4">
        <v>254.78</v>
      </c>
      <c r="Q57" s="4">
        <v>254.78</v>
      </c>
      <c r="R57" s="4">
        <f>IF(
    OR(Dashboard_Query[[#This Row],[Monthly Allowance]]="",Dashboard_Query[[#This Row],[Current Usage]]=""),
    "",
    MAX(0,Dashboard_Query[[#This Row],[Monthly Allowance]]-Dashboard_Query[[#This Row],[Current Usage]])
)</f>
        <v>245.22</v>
      </c>
      <c r="S57" s="9">
        <f>IF(OR(Dashboard_Query[[#This Row],[Monthly Allowance]]="",Dashboard_Query[[#This Row],[Current Usage]]=""),"",Dashboard_Query[[#This Row],[Current Usage]]/Dashboard_Query[[#This Row],[Monthly Allowance]])</f>
        <v>0.50956000000000001</v>
      </c>
      <c r="T57" s="9">
        <f>IF(Dashboard_Query[[#This Row],[% Used]]="","",1-Dashboard_Query[[#This Row],[% Used]])</f>
        <v>0.49043999999999999</v>
      </c>
      <c r="U57" s="4">
        <f>IF(OR(Dashboard_Query[[#This Row],[Monthly Allowance]]="",Dashboard_Query[[#This Row],[Current Usage]]=""),"",MAX(0,Dashboard_Query[[#This Row],[Current Usage]]-Dashboard_Query[[#This Row],[Monthly Allowance]]))</f>
        <v>0</v>
      </c>
      <c r="V57" s="4" t="str">
        <f>IF(Dashboard_Query[[#This Row],[Monthly Allowance]]="","",IF(Dashboard_Query[[#This Row],[Overage]]&gt;0,"OVER",IF(Dashboard_Query[[#This Row],[% Used]]&gt;=0.8,"WARNING","OK")))</f>
        <v>OK</v>
      </c>
      <c r="W57" s="1"/>
      <c r="X57" s="1"/>
    </row>
    <row r="58" spans="1:24">
      <c r="A58" s="4" t="s">
        <v>103</v>
      </c>
      <c r="B58" s="4">
        <v>814480</v>
      </c>
      <c r="C58" s="4" t="s">
        <v>60</v>
      </c>
      <c r="D58" s="4" t="s">
        <v>61</v>
      </c>
      <c r="E58" s="4" t="s">
        <v>62</v>
      </c>
      <c r="F58" s="4">
        <v>211121030</v>
      </c>
      <c r="G58" s="6">
        <v>46217</v>
      </c>
      <c r="H58" s="6">
        <v>46217</v>
      </c>
      <c r="I58" s="32">
        <v>46248</v>
      </c>
      <c r="J58" s="1">
        <v>25</v>
      </c>
      <c r="K58" s="4">
        <v>500</v>
      </c>
      <c r="M58" s="4" t="s">
        <v>39</v>
      </c>
      <c r="N58" s="6">
        <v>46217</v>
      </c>
      <c r="O58" s="1">
        <v>50</v>
      </c>
      <c r="P58" s="4">
        <v>0.09</v>
      </c>
      <c r="Q58" s="4">
        <v>0.09</v>
      </c>
      <c r="R58" s="4">
        <f>IF(
    OR(Dashboard_Query[[#This Row],[Monthly Allowance]]="",Dashboard_Query[[#This Row],[Current Usage]]=""),
    "",
    MAX(0,Dashboard_Query[[#This Row],[Monthly Allowance]]-Dashboard_Query[[#This Row],[Current Usage]])
)</f>
        <v>499.91</v>
      </c>
      <c r="S58" s="9">
        <f>IF(OR(Dashboard_Query[[#This Row],[Monthly Allowance]]="",Dashboard_Query[[#This Row],[Current Usage]]=""),"",Dashboard_Query[[#This Row],[Current Usage]]/Dashboard_Query[[#This Row],[Monthly Allowance]])</f>
        <v>1.7999999999999998E-4</v>
      </c>
      <c r="T58" s="9">
        <f>IF(Dashboard_Query[[#This Row],[% Used]]="","",1-Dashboard_Query[[#This Row],[% Used]])</f>
        <v>0.99982000000000004</v>
      </c>
      <c r="U58" s="4">
        <f>IF(OR(Dashboard_Query[[#This Row],[Monthly Allowance]]="",Dashboard_Query[[#This Row],[Current Usage]]=""),"",MAX(0,Dashboard_Query[[#This Row],[Current Usage]]-Dashboard_Query[[#This Row],[Monthly Allowance]]))</f>
        <v>0</v>
      </c>
      <c r="V58" s="4" t="str">
        <f>IF(Dashboard_Query[[#This Row],[Monthly Allowance]]="","",IF(Dashboard_Query[[#This Row],[Overage]]&gt;0,"OVER",IF(Dashboard_Query[[#This Row],[% Used]]&gt;=0.8,"WARNING","OK")))</f>
        <v>OK</v>
      </c>
      <c r="W58" s="1"/>
      <c r="X58" s="1"/>
    </row>
    <row r="59" spans="1:24" hidden="1">
      <c r="A59" s="4" t="s">
        <v>104</v>
      </c>
      <c r="B59" s="4">
        <v>809617</v>
      </c>
      <c r="C59" s="4"/>
      <c r="D59" s="4"/>
      <c r="E59" s="4"/>
      <c r="F59" s="4"/>
      <c r="G59" s="6"/>
      <c r="H59" s="6"/>
      <c r="I59" s="32"/>
      <c r="J59" s="1"/>
      <c r="K59" s="4">
        <v>500</v>
      </c>
      <c r="M59" s="4" t="s">
        <v>74</v>
      </c>
      <c r="N59" s="6"/>
      <c r="O59" s="1">
        <v>500</v>
      </c>
      <c r="P59" s="4">
        <v>0</v>
      </c>
      <c r="Q59" s="4">
        <v>0</v>
      </c>
      <c r="R59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59" s="9">
        <f>IF(OR(Dashboard_Query[[#This Row],[Monthly Allowance]]="",Dashboard_Query[[#This Row],[Current Usage]]=""),"",Dashboard_Query[[#This Row],[Current Usage]]/Dashboard_Query[[#This Row],[Monthly Allowance]])</f>
        <v>0</v>
      </c>
      <c r="T59" s="9">
        <f>IF(Dashboard_Query[[#This Row],[% Used]]="","",1-Dashboard_Query[[#This Row],[% Used]])</f>
        <v>1</v>
      </c>
      <c r="U59" s="4">
        <f>IF(OR(Dashboard_Query[[#This Row],[Monthly Allowance]]="",Dashboard_Query[[#This Row],[Current Usage]]=""),"",MAX(0,Dashboard_Query[[#This Row],[Current Usage]]-Dashboard_Query[[#This Row],[Monthly Allowance]]))</f>
        <v>0</v>
      </c>
      <c r="V59" s="4" t="str">
        <f>IF(Dashboard_Query[[#This Row],[Monthly Allowance]]="","",IF(Dashboard_Query[[#This Row],[Overage]]&gt;0,"OVER",IF(Dashboard_Query[[#This Row],[% Used]]&gt;=0.8,"WARNING","OK")))</f>
        <v>OK</v>
      </c>
      <c r="W59" s="1"/>
      <c r="X59" s="1"/>
    </row>
    <row r="60" spans="1:24">
      <c r="A60" s="4" t="s">
        <v>105</v>
      </c>
      <c r="B60" s="4">
        <v>814483</v>
      </c>
      <c r="C60" s="4" t="s">
        <v>60</v>
      </c>
      <c r="D60" s="4" t="s">
        <v>61</v>
      </c>
      <c r="E60" s="4" t="s">
        <v>62</v>
      </c>
      <c r="F60" s="4">
        <v>211121030</v>
      </c>
      <c r="G60" s="6">
        <v>46217</v>
      </c>
      <c r="H60" s="6">
        <v>46217</v>
      </c>
      <c r="I60" s="32">
        <v>46248</v>
      </c>
      <c r="J60" s="1">
        <v>25</v>
      </c>
      <c r="K60" s="4">
        <v>500</v>
      </c>
      <c r="M60" s="4" t="s">
        <v>39</v>
      </c>
      <c r="N60" s="6">
        <v>46217</v>
      </c>
      <c r="O60" s="1">
        <v>50</v>
      </c>
      <c r="P60" s="4">
        <v>3.95</v>
      </c>
      <c r="Q60" s="4">
        <v>3.95</v>
      </c>
      <c r="R60" s="4">
        <f>IF(
    OR(Dashboard_Query[[#This Row],[Monthly Allowance]]="",Dashboard_Query[[#This Row],[Current Usage]]=""),
    "",
    MAX(0,Dashboard_Query[[#This Row],[Monthly Allowance]]-Dashboard_Query[[#This Row],[Current Usage]])
)</f>
        <v>496.05</v>
      </c>
      <c r="S60" s="9">
        <f>IF(OR(Dashboard_Query[[#This Row],[Monthly Allowance]]="",Dashboard_Query[[#This Row],[Current Usage]]=""),"",Dashboard_Query[[#This Row],[Current Usage]]/Dashboard_Query[[#This Row],[Monthly Allowance]])</f>
        <v>7.9000000000000008E-3</v>
      </c>
      <c r="T60" s="9">
        <f>IF(Dashboard_Query[[#This Row],[% Used]]="","",1-Dashboard_Query[[#This Row],[% Used]])</f>
        <v>0.99209999999999998</v>
      </c>
      <c r="U60" s="4">
        <f>IF(OR(Dashboard_Query[[#This Row],[Monthly Allowance]]="",Dashboard_Query[[#This Row],[Current Usage]]=""),"",MAX(0,Dashboard_Query[[#This Row],[Current Usage]]-Dashboard_Query[[#This Row],[Monthly Allowance]]))</f>
        <v>0</v>
      </c>
      <c r="V60" s="4" t="str">
        <f>IF(Dashboard_Query[[#This Row],[Monthly Allowance]]="","",IF(Dashboard_Query[[#This Row],[Overage]]&gt;0,"OVER",IF(Dashboard_Query[[#This Row],[% Used]]&gt;=0.8,"WARNING","OK")))</f>
        <v>OK</v>
      </c>
      <c r="W60" s="1"/>
      <c r="X60" s="1"/>
    </row>
    <row r="61" spans="1:24">
      <c r="A61" s="4" t="s">
        <v>106</v>
      </c>
      <c r="B61" s="4">
        <v>812813</v>
      </c>
      <c r="C61" s="4" t="s">
        <v>107</v>
      </c>
      <c r="D61" s="4" t="s">
        <v>108</v>
      </c>
      <c r="E61" s="4" t="s">
        <v>109</v>
      </c>
      <c r="F61" s="4">
        <v>211120837</v>
      </c>
      <c r="G61" s="6">
        <v>46210</v>
      </c>
      <c r="H61" s="6">
        <v>46210</v>
      </c>
      <c r="I61" s="32">
        <v>46241</v>
      </c>
      <c r="J61" s="1">
        <v>18</v>
      </c>
      <c r="K61" s="4">
        <v>500</v>
      </c>
      <c r="M61" s="4" t="s">
        <v>39</v>
      </c>
      <c r="N61" s="6">
        <v>46210</v>
      </c>
      <c r="O61" s="1">
        <v>50</v>
      </c>
      <c r="P61" s="4">
        <v>3.64</v>
      </c>
      <c r="Q61" s="4">
        <v>3.64</v>
      </c>
      <c r="R61" s="4">
        <f>IF(
    OR(Dashboard_Query[[#This Row],[Monthly Allowance]]="",Dashboard_Query[[#This Row],[Current Usage]]=""),
    "",
    MAX(0,Dashboard_Query[[#This Row],[Monthly Allowance]]-Dashboard_Query[[#This Row],[Current Usage]])
)</f>
        <v>496.36</v>
      </c>
      <c r="S61" s="9">
        <f>IF(OR(Dashboard_Query[[#This Row],[Monthly Allowance]]="",Dashboard_Query[[#This Row],[Current Usage]]=""),"",Dashboard_Query[[#This Row],[Current Usage]]/Dashboard_Query[[#This Row],[Monthly Allowance]])</f>
        <v>7.28E-3</v>
      </c>
      <c r="T61" s="9">
        <f>IF(Dashboard_Query[[#This Row],[% Used]]="","",1-Dashboard_Query[[#This Row],[% Used]])</f>
        <v>0.99272000000000005</v>
      </c>
      <c r="U61" s="4">
        <f>IF(OR(Dashboard_Query[[#This Row],[Monthly Allowance]]="",Dashboard_Query[[#This Row],[Current Usage]]=""),"",MAX(0,Dashboard_Query[[#This Row],[Current Usage]]-Dashboard_Query[[#This Row],[Monthly Allowance]]))</f>
        <v>0</v>
      </c>
      <c r="V61" s="4" t="str">
        <f>IF(Dashboard_Query[[#This Row],[Monthly Allowance]]="","",IF(Dashboard_Query[[#This Row],[Overage]]&gt;0,"OVER",IF(Dashboard_Query[[#This Row],[% Used]]&gt;=0.8,"WARNING","OK")))</f>
        <v>OK</v>
      </c>
      <c r="W61" s="1"/>
      <c r="X61" s="1"/>
    </row>
    <row r="62" spans="1:24">
      <c r="A62" s="4" t="s">
        <v>110</v>
      </c>
      <c r="B62" s="4">
        <v>809618</v>
      </c>
      <c r="C62" s="4" t="s">
        <v>54</v>
      </c>
      <c r="D62" s="4" t="s">
        <v>55</v>
      </c>
      <c r="E62" s="4" t="s">
        <v>56</v>
      </c>
      <c r="F62" s="4">
        <v>211120934</v>
      </c>
      <c r="G62" s="6">
        <v>46214</v>
      </c>
      <c r="H62" s="6">
        <v>46214</v>
      </c>
      <c r="I62" s="32">
        <v>46245</v>
      </c>
      <c r="J62" s="1">
        <v>22</v>
      </c>
      <c r="K62" s="4">
        <v>500</v>
      </c>
      <c r="M62" s="4" t="s">
        <v>39</v>
      </c>
      <c r="N62" s="6">
        <v>46214</v>
      </c>
      <c r="O62" s="1">
        <v>500</v>
      </c>
      <c r="P62" s="4">
        <v>16.43</v>
      </c>
      <c r="Q62" s="4">
        <v>16.43</v>
      </c>
      <c r="R62" s="4">
        <f>IF(
    OR(Dashboard_Query[[#This Row],[Monthly Allowance]]="",Dashboard_Query[[#This Row],[Current Usage]]=""),
    "",
    MAX(0,Dashboard_Query[[#This Row],[Monthly Allowance]]-Dashboard_Query[[#This Row],[Current Usage]])
)</f>
        <v>483.57</v>
      </c>
      <c r="S62" s="9">
        <f>IF(OR(Dashboard_Query[[#This Row],[Monthly Allowance]]="",Dashboard_Query[[#This Row],[Current Usage]]=""),"",Dashboard_Query[[#This Row],[Current Usage]]/Dashboard_Query[[#This Row],[Monthly Allowance]])</f>
        <v>3.286E-2</v>
      </c>
      <c r="T62" s="9">
        <f>IF(Dashboard_Query[[#This Row],[% Used]]="","",1-Dashboard_Query[[#This Row],[% Used]])</f>
        <v>0.96714</v>
      </c>
      <c r="U62" s="4">
        <f>IF(OR(Dashboard_Query[[#This Row],[Monthly Allowance]]="",Dashboard_Query[[#This Row],[Current Usage]]=""),"",MAX(0,Dashboard_Query[[#This Row],[Current Usage]]-Dashboard_Query[[#This Row],[Monthly Allowance]]))</f>
        <v>0</v>
      </c>
      <c r="V62" s="4" t="str">
        <f>IF(Dashboard_Query[[#This Row],[Monthly Allowance]]="","",IF(Dashboard_Query[[#This Row],[Overage]]&gt;0,"OVER",IF(Dashboard_Query[[#This Row],[% Used]]&gt;=0.8,"WARNING","OK")))</f>
        <v>OK</v>
      </c>
      <c r="W62" s="1"/>
      <c r="X62" s="1"/>
    </row>
    <row r="63" spans="1:24">
      <c r="A63" s="4" t="s">
        <v>111</v>
      </c>
      <c r="B63" s="4">
        <v>812926</v>
      </c>
      <c r="C63" s="4" t="s">
        <v>112</v>
      </c>
      <c r="D63" s="4" t="s">
        <v>113</v>
      </c>
      <c r="E63" s="4" t="s">
        <v>114</v>
      </c>
      <c r="F63" s="4">
        <v>211121029</v>
      </c>
      <c r="G63" s="6">
        <v>46218</v>
      </c>
      <c r="H63" s="6">
        <v>46218</v>
      </c>
      <c r="I63" s="32">
        <v>46249</v>
      </c>
      <c r="J63" s="1">
        <v>26</v>
      </c>
      <c r="K63" s="4">
        <v>1000</v>
      </c>
      <c r="M63" s="4" t="s">
        <v>39</v>
      </c>
      <c r="N63" s="6">
        <v>46218</v>
      </c>
      <c r="O63" s="1">
        <v>50</v>
      </c>
      <c r="P63" s="4">
        <v>184.19</v>
      </c>
      <c r="Q63" s="4">
        <v>184.19</v>
      </c>
      <c r="R63" s="4">
        <f>IF(
    OR(Dashboard_Query[[#This Row],[Monthly Allowance]]="",Dashboard_Query[[#This Row],[Current Usage]]=""),
    "",
    MAX(0,Dashboard_Query[[#This Row],[Monthly Allowance]]-Dashboard_Query[[#This Row],[Current Usage]])
)</f>
        <v>815.81</v>
      </c>
      <c r="S63" s="9">
        <f>IF(OR(Dashboard_Query[[#This Row],[Monthly Allowance]]="",Dashboard_Query[[#This Row],[Current Usage]]=""),"",Dashboard_Query[[#This Row],[Current Usage]]/Dashboard_Query[[#This Row],[Monthly Allowance]])</f>
        <v>0.18418999999999999</v>
      </c>
      <c r="T63" s="9">
        <f>IF(Dashboard_Query[[#This Row],[% Used]]="","",1-Dashboard_Query[[#This Row],[% Used]])</f>
        <v>0.81581000000000004</v>
      </c>
      <c r="U63" s="4">
        <f>IF(OR(Dashboard_Query[[#This Row],[Monthly Allowance]]="",Dashboard_Query[[#This Row],[Current Usage]]=""),"",MAX(0,Dashboard_Query[[#This Row],[Current Usage]]-Dashboard_Query[[#This Row],[Monthly Allowance]]))</f>
        <v>0</v>
      </c>
      <c r="V63" s="4" t="str">
        <f>IF(Dashboard_Query[[#This Row],[Monthly Allowance]]="","",IF(Dashboard_Query[[#This Row],[Overage]]&gt;0,"OVER",IF(Dashboard_Query[[#This Row],[% Used]]&gt;=0.8,"WARNING","OK")))</f>
        <v>OK</v>
      </c>
      <c r="W63" s="1"/>
      <c r="X63" s="1"/>
    </row>
    <row r="64" spans="1:24">
      <c r="A64" s="4" t="s">
        <v>115</v>
      </c>
      <c r="B64" s="4">
        <v>812815</v>
      </c>
      <c r="C64" s="4" t="s">
        <v>47</v>
      </c>
      <c r="D64" s="4" t="s">
        <v>48</v>
      </c>
      <c r="E64" s="4" t="s">
        <v>49</v>
      </c>
      <c r="F64" s="4">
        <v>211120714</v>
      </c>
      <c r="G64" s="6">
        <v>46204</v>
      </c>
      <c r="H64" s="6">
        <v>46204</v>
      </c>
      <c r="I64" s="32">
        <v>46235</v>
      </c>
      <c r="J64" s="1">
        <v>12</v>
      </c>
      <c r="K64" s="4">
        <v>500</v>
      </c>
      <c r="M64" s="4" t="s">
        <v>39</v>
      </c>
      <c r="N64" s="6">
        <v>46204</v>
      </c>
      <c r="O64" s="1">
        <v>500</v>
      </c>
      <c r="P64" s="4">
        <v>189.72</v>
      </c>
      <c r="Q64" s="4">
        <v>189.72</v>
      </c>
      <c r="R64" s="4">
        <f>IF(
    OR(Dashboard_Query[[#This Row],[Monthly Allowance]]="",Dashboard_Query[[#This Row],[Current Usage]]=""),
    "",
    MAX(0,Dashboard_Query[[#This Row],[Monthly Allowance]]-Dashboard_Query[[#This Row],[Current Usage]])
)</f>
        <v>310.27999999999997</v>
      </c>
      <c r="S64" s="9">
        <f>IF(OR(Dashboard_Query[[#This Row],[Monthly Allowance]]="",Dashboard_Query[[#This Row],[Current Usage]]=""),"",Dashboard_Query[[#This Row],[Current Usage]]/Dashboard_Query[[#This Row],[Monthly Allowance]])</f>
        <v>0.37944</v>
      </c>
      <c r="T64" s="9">
        <f>IF(Dashboard_Query[[#This Row],[% Used]]="","",1-Dashboard_Query[[#This Row],[% Used]])</f>
        <v>0.62056</v>
      </c>
      <c r="U64" s="4">
        <f>IF(OR(Dashboard_Query[[#This Row],[Monthly Allowance]]="",Dashboard_Query[[#This Row],[Current Usage]]=""),"",MAX(0,Dashboard_Query[[#This Row],[Current Usage]]-Dashboard_Query[[#This Row],[Monthly Allowance]]))</f>
        <v>0</v>
      </c>
      <c r="V64" s="4" t="str">
        <f>IF(Dashboard_Query[[#This Row],[Monthly Allowance]]="","",IF(Dashboard_Query[[#This Row],[Overage]]&gt;0,"OVER",IF(Dashboard_Query[[#This Row],[% Used]]&gt;=0.8,"WARNING","OK")))</f>
        <v>OK</v>
      </c>
      <c r="W64" s="1"/>
      <c r="X64" s="1"/>
    </row>
    <row r="65" spans="1:24" ht="15">
      <c r="A65" s="4" t="s">
        <v>116</v>
      </c>
      <c r="B65" s="4">
        <v>812812</v>
      </c>
      <c r="C65" s="4" t="s">
        <v>117</v>
      </c>
      <c r="D65" s="4" t="s">
        <v>42</v>
      </c>
      <c r="E65" s="3" t="s">
        <v>118</v>
      </c>
      <c r="F65" s="4">
        <v>211120259</v>
      </c>
      <c r="G65" s="6">
        <v>46189</v>
      </c>
      <c r="H65" s="6">
        <v>46219</v>
      </c>
      <c r="I65" s="32">
        <v>46250</v>
      </c>
      <c r="J65" s="1">
        <v>27</v>
      </c>
      <c r="K65" s="4">
        <v>500</v>
      </c>
      <c r="M65" s="4" t="s">
        <v>39</v>
      </c>
      <c r="N65" s="6">
        <v>46219</v>
      </c>
      <c r="O65" s="1">
        <v>500</v>
      </c>
      <c r="P65" s="4">
        <v>62.32</v>
      </c>
      <c r="Q65" s="4">
        <v>10.61</v>
      </c>
      <c r="R65" s="4">
        <f>IF(
    OR(Dashboard_Query[[#This Row],[Monthly Allowance]]="",Dashboard_Query[[#This Row],[Current Usage]]=""),
    "",
    MAX(0,Dashboard_Query[[#This Row],[Monthly Allowance]]-Dashboard_Query[[#This Row],[Current Usage]])
)</f>
        <v>489.39</v>
      </c>
      <c r="S65" s="9">
        <f>IF(OR(Dashboard_Query[[#This Row],[Monthly Allowance]]="",Dashboard_Query[[#This Row],[Current Usage]]=""),"",Dashboard_Query[[#This Row],[Current Usage]]/Dashboard_Query[[#This Row],[Monthly Allowance]])</f>
        <v>2.1219999999999999E-2</v>
      </c>
      <c r="T65" s="9">
        <f>IF(Dashboard_Query[[#This Row],[% Used]]="","",1-Dashboard_Query[[#This Row],[% Used]])</f>
        <v>0.97877999999999998</v>
      </c>
      <c r="U65" s="4">
        <f>IF(OR(Dashboard_Query[[#This Row],[Monthly Allowance]]="",Dashboard_Query[[#This Row],[Current Usage]]=""),"",MAX(0,Dashboard_Query[[#This Row],[Current Usage]]-Dashboard_Query[[#This Row],[Monthly Allowance]]))</f>
        <v>0</v>
      </c>
      <c r="V65" s="4" t="str">
        <f>IF(Dashboard_Query[[#This Row],[Monthly Allowance]]="","",IF(Dashboard_Query[[#This Row],[Overage]]&gt;0,"OVER",IF(Dashboard_Query[[#This Row],[% Used]]&gt;=0.8,"WARNING","OK")))</f>
        <v>OK</v>
      </c>
      <c r="W65" s="1"/>
      <c r="X65" s="1"/>
    </row>
    <row r="66" spans="1:24" hidden="1">
      <c r="A66" s="4" t="s">
        <v>119</v>
      </c>
      <c r="B66" s="4">
        <v>809619</v>
      </c>
      <c r="C66" s="4"/>
      <c r="D66" s="4"/>
      <c r="E66" s="4"/>
      <c r="F66" s="4"/>
      <c r="G66" s="6"/>
      <c r="H66" s="6"/>
      <c r="I66" s="32"/>
      <c r="J66" s="1"/>
      <c r="K66" s="4">
        <v>500</v>
      </c>
      <c r="M66" s="4" t="s">
        <v>74</v>
      </c>
      <c r="N66" s="6"/>
      <c r="O66" s="1">
        <v>500</v>
      </c>
      <c r="P66" s="4">
        <v>0</v>
      </c>
      <c r="Q66" s="4">
        <v>0</v>
      </c>
      <c r="R66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66" s="9">
        <f>IF(OR(Dashboard_Query[[#This Row],[Monthly Allowance]]="",Dashboard_Query[[#This Row],[Current Usage]]=""),"",Dashboard_Query[[#This Row],[Current Usage]]/Dashboard_Query[[#This Row],[Monthly Allowance]])</f>
        <v>0</v>
      </c>
      <c r="T66" s="9">
        <f>IF(Dashboard_Query[[#This Row],[% Used]]="","",1-Dashboard_Query[[#This Row],[% Used]])</f>
        <v>1</v>
      </c>
      <c r="U66" s="4">
        <f>IF(OR(Dashboard_Query[[#This Row],[Monthly Allowance]]="",Dashboard_Query[[#This Row],[Current Usage]]=""),"",MAX(0,Dashboard_Query[[#This Row],[Current Usage]]-Dashboard_Query[[#This Row],[Monthly Allowance]]))</f>
        <v>0</v>
      </c>
      <c r="V66" s="4" t="str">
        <f>IF(Dashboard_Query[[#This Row],[Monthly Allowance]]="","",IF(Dashboard_Query[[#This Row],[Overage]]&gt;0,"OVER",IF(Dashboard_Query[[#This Row],[% Used]]&gt;=0.8,"WARNING","OK")))</f>
        <v>OK</v>
      </c>
      <c r="W66" s="1"/>
      <c r="X66" s="1"/>
    </row>
    <row r="67" spans="1:24">
      <c r="A67" s="4" t="s">
        <v>120</v>
      </c>
      <c r="B67" s="4">
        <v>812802</v>
      </c>
      <c r="C67" s="4" t="s">
        <v>117</v>
      </c>
      <c r="D67" s="4" t="s">
        <v>42</v>
      </c>
      <c r="E67" s="4" t="s">
        <v>118</v>
      </c>
      <c r="F67" s="4">
        <v>211120259</v>
      </c>
      <c r="G67" s="6">
        <v>46189</v>
      </c>
      <c r="H67" s="6">
        <v>46219</v>
      </c>
      <c r="I67" s="32">
        <v>46250</v>
      </c>
      <c r="J67" s="1">
        <v>27</v>
      </c>
      <c r="K67" s="4">
        <v>500</v>
      </c>
      <c r="M67" s="4" t="s">
        <v>39</v>
      </c>
      <c r="N67" s="6">
        <v>46219</v>
      </c>
      <c r="O67" s="1">
        <v>500</v>
      </c>
      <c r="P67" s="4">
        <v>32.020000000000003</v>
      </c>
      <c r="Q67" s="4">
        <v>0</v>
      </c>
      <c r="R67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67" s="9">
        <f>IF(OR(Dashboard_Query[[#This Row],[Monthly Allowance]]="",Dashboard_Query[[#This Row],[Current Usage]]=""),"",Dashboard_Query[[#This Row],[Current Usage]]/Dashboard_Query[[#This Row],[Monthly Allowance]])</f>
        <v>0</v>
      </c>
      <c r="T67" s="9">
        <f>IF(Dashboard_Query[[#This Row],[% Used]]="","",1-Dashboard_Query[[#This Row],[% Used]])</f>
        <v>1</v>
      </c>
      <c r="U67" s="4">
        <f>IF(OR(Dashboard_Query[[#This Row],[Monthly Allowance]]="",Dashboard_Query[[#This Row],[Current Usage]]=""),"",MAX(0,Dashboard_Query[[#This Row],[Current Usage]]-Dashboard_Query[[#This Row],[Monthly Allowance]]))</f>
        <v>0</v>
      </c>
      <c r="V67" s="4" t="str">
        <f>IF(Dashboard_Query[[#This Row],[Monthly Allowance]]="","",IF(Dashboard_Query[[#This Row],[Overage]]&gt;0,"OVER",IF(Dashboard_Query[[#This Row],[% Used]]&gt;=0.8,"WARNING","OK")))</f>
        <v>OK</v>
      </c>
      <c r="W67" s="1"/>
      <c r="X67" s="1"/>
    </row>
    <row r="68" spans="1:24">
      <c r="A68" s="4" t="s">
        <v>121</v>
      </c>
      <c r="B68" s="4">
        <v>812803</v>
      </c>
      <c r="C68" s="4" t="s">
        <v>41</v>
      </c>
      <c r="D68" s="4" t="s">
        <v>42</v>
      </c>
      <c r="E68" s="4" t="s">
        <v>43</v>
      </c>
      <c r="F68" s="4">
        <v>211120721</v>
      </c>
      <c r="G68" s="6">
        <v>46204</v>
      </c>
      <c r="H68" s="6">
        <v>46204</v>
      </c>
      <c r="I68" s="32">
        <v>46235</v>
      </c>
      <c r="J68" s="1">
        <v>12</v>
      </c>
      <c r="K68" s="4">
        <v>500</v>
      </c>
      <c r="M68" s="4" t="s">
        <v>39</v>
      </c>
      <c r="N68" s="6">
        <v>46204</v>
      </c>
      <c r="O68" s="1">
        <v>50</v>
      </c>
      <c r="P68" s="4">
        <v>188.89</v>
      </c>
      <c r="Q68" s="4">
        <v>188.89</v>
      </c>
      <c r="R68" s="4">
        <f>IF(
    OR(Dashboard_Query[[#This Row],[Monthly Allowance]]="",Dashboard_Query[[#This Row],[Current Usage]]=""),
    "",
    MAX(0,Dashboard_Query[[#This Row],[Monthly Allowance]]-Dashboard_Query[[#This Row],[Current Usage]])
)</f>
        <v>311.11</v>
      </c>
      <c r="S68" s="9">
        <f>IF(OR(Dashboard_Query[[#This Row],[Monthly Allowance]]="",Dashboard_Query[[#This Row],[Current Usage]]=""),"",Dashboard_Query[[#This Row],[Current Usage]]/Dashboard_Query[[#This Row],[Monthly Allowance]])</f>
        <v>0.37777999999999995</v>
      </c>
      <c r="T68" s="9">
        <f>IF(Dashboard_Query[[#This Row],[% Used]]="","",1-Dashboard_Query[[#This Row],[% Used]])</f>
        <v>0.62222</v>
      </c>
      <c r="U68" s="4">
        <f>IF(OR(Dashboard_Query[[#This Row],[Monthly Allowance]]="",Dashboard_Query[[#This Row],[Current Usage]]=""),"",MAX(0,Dashboard_Query[[#This Row],[Current Usage]]-Dashboard_Query[[#This Row],[Monthly Allowance]]))</f>
        <v>0</v>
      </c>
      <c r="V68" s="4" t="str">
        <f>IF(Dashboard_Query[[#This Row],[Monthly Allowance]]="","",IF(Dashboard_Query[[#This Row],[Overage]]&gt;0,"OVER",IF(Dashboard_Query[[#This Row],[% Used]]&gt;=0.8,"WARNING","OK")))</f>
        <v>OK</v>
      </c>
      <c r="W68" s="1"/>
      <c r="X68" s="1"/>
    </row>
    <row r="69" spans="1:24">
      <c r="A69" s="4" t="s">
        <v>122</v>
      </c>
      <c r="B69" s="4">
        <v>812928</v>
      </c>
      <c r="C69" s="4" t="s">
        <v>123</v>
      </c>
      <c r="D69" s="4" t="s">
        <v>124</v>
      </c>
      <c r="E69" s="4" t="s">
        <v>125</v>
      </c>
      <c r="F69" s="4">
        <v>211121067</v>
      </c>
      <c r="G69" s="6">
        <v>46219</v>
      </c>
      <c r="H69" s="6">
        <v>46219</v>
      </c>
      <c r="I69" s="32">
        <v>46250</v>
      </c>
      <c r="J69" s="1">
        <v>27</v>
      </c>
      <c r="K69" s="4">
        <v>1000</v>
      </c>
      <c r="M69" s="4" t="s">
        <v>39</v>
      </c>
      <c r="N69" s="6">
        <v>46219</v>
      </c>
      <c r="O69" s="1">
        <v>500</v>
      </c>
      <c r="P69" s="4">
        <v>47.66</v>
      </c>
      <c r="Q69" s="4">
        <v>23.179999999999996</v>
      </c>
      <c r="R69" s="4">
        <f>IF(
    OR(Dashboard_Query[[#This Row],[Monthly Allowance]]="",Dashboard_Query[[#This Row],[Current Usage]]=""),
    "",
    MAX(0,Dashboard_Query[[#This Row],[Monthly Allowance]]-Dashboard_Query[[#This Row],[Current Usage]])
)</f>
        <v>976.82</v>
      </c>
      <c r="S69" s="9">
        <f>IF(OR(Dashboard_Query[[#This Row],[Monthly Allowance]]="",Dashboard_Query[[#This Row],[Current Usage]]=""),"",Dashboard_Query[[#This Row],[Current Usage]]/Dashboard_Query[[#This Row],[Monthly Allowance]])</f>
        <v>2.3179999999999996E-2</v>
      </c>
      <c r="T69" s="9">
        <f>IF(Dashboard_Query[[#This Row],[% Used]]="","",1-Dashboard_Query[[#This Row],[% Used]])</f>
        <v>0.97682000000000002</v>
      </c>
      <c r="U69" s="4">
        <f>IF(OR(Dashboard_Query[[#This Row],[Monthly Allowance]]="",Dashboard_Query[[#This Row],[Current Usage]]=""),"",MAX(0,Dashboard_Query[[#This Row],[Current Usage]]-Dashboard_Query[[#This Row],[Monthly Allowance]]))</f>
        <v>0</v>
      </c>
      <c r="V69" s="4" t="str">
        <f>IF(Dashboard_Query[[#This Row],[Monthly Allowance]]="","",IF(Dashboard_Query[[#This Row],[Overage]]&gt;0,"OVER",IF(Dashboard_Query[[#This Row],[% Used]]&gt;=0.8,"WARNING","OK")))</f>
        <v>OK</v>
      </c>
      <c r="W69" s="1"/>
      <c r="X69" s="1"/>
    </row>
    <row r="70" spans="1:24" hidden="1">
      <c r="A70" s="4" t="s">
        <v>126</v>
      </c>
      <c r="B70" s="4">
        <v>809620</v>
      </c>
      <c r="C70" s="4"/>
      <c r="D70" s="4"/>
      <c r="E70" s="4"/>
      <c r="F70" s="4"/>
      <c r="G70" s="6"/>
      <c r="H70" s="6"/>
      <c r="I70" s="32"/>
      <c r="J70" s="1"/>
      <c r="K70" s="4">
        <v>500</v>
      </c>
      <c r="M70" s="4" t="s">
        <v>74</v>
      </c>
      <c r="N70" s="6"/>
      <c r="O70" s="1">
        <v>500</v>
      </c>
      <c r="P70" s="4">
        <v>0</v>
      </c>
      <c r="Q70" s="4">
        <v>0</v>
      </c>
      <c r="R70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70" s="9">
        <f>IF(OR(Dashboard_Query[[#This Row],[Monthly Allowance]]="",Dashboard_Query[[#This Row],[Current Usage]]=""),"",Dashboard_Query[[#This Row],[Current Usage]]/Dashboard_Query[[#This Row],[Monthly Allowance]])</f>
        <v>0</v>
      </c>
      <c r="T70" s="9">
        <f>IF(Dashboard_Query[[#This Row],[% Used]]="","",1-Dashboard_Query[[#This Row],[% Used]])</f>
        <v>1</v>
      </c>
      <c r="U70" s="4">
        <f>IF(OR(Dashboard_Query[[#This Row],[Monthly Allowance]]="",Dashboard_Query[[#This Row],[Current Usage]]=""),"",MAX(0,Dashboard_Query[[#This Row],[Current Usage]]-Dashboard_Query[[#This Row],[Monthly Allowance]]))</f>
        <v>0</v>
      </c>
      <c r="V70" s="4" t="str">
        <f>IF(Dashboard_Query[[#This Row],[Monthly Allowance]]="","",IF(Dashboard_Query[[#This Row],[Overage]]&gt;0,"OVER",IF(Dashboard_Query[[#This Row],[% Used]]&gt;=0.8,"WARNING","OK")))</f>
        <v>OK</v>
      </c>
      <c r="W70" s="1"/>
      <c r="X70" s="1"/>
    </row>
    <row r="71" spans="1:24">
      <c r="A71" s="4" t="s">
        <v>127</v>
      </c>
      <c r="B71" s="4">
        <v>812831</v>
      </c>
      <c r="C71" s="4" t="s">
        <v>117</v>
      </c>
      <c r="D71" s="4" t="s">
        <v>42</v>
      </c>
      <c r="E71" s="4" t="s">
        <v>118</v>
      </c>
      <c r="F71" s="4">
        <v>211120259</v>
      </c>
      <c r="G71" s="6">
        <v>46189</v>
      </c>
      <c r="H71" s="6">
        <v>46219</v>
      </c>
      <c r="I71" s="32">
        <v>46250</v>
      </c>
      <c r="J71" s="1">
        <v>27</v>
      </c>
      <c r="K71" s="4">
        <v>500</v>
      </c>
      <c r="M71" s="4" t="s">
        <v>39</v>
      </c>
      <c r="N71" s="6">
        <v>46219</v>
      </c>
      <c r="O71" s="1">
        <v>500</v>
      </c>
      <c r="P71" s="4">
        <v>19.43</v>
      </c>
      <c r="Q71" s="4">
        <v>2.2199999999999989</v>
      </c>
      <c r="R71" s="4">
        <f>IF(
    OR(Dashboard_Query[[#This Row],[Monthly Allowance]]="",Dashboard_Query[[#This Row],[Current Usage]]=""),
    "",
    MAX(0,Dashboard_Query[[#This Row],[Monthly Allowance]]-Dashboard_Query[[#This Row],[Current Usage]])
)</f>
        <v>497.78</v>
      </c>
      <c r="S71" s="9">
        <f>IF(OR(Dashboard_Query[[#This Row],[Monthly Allowance]]="",Dashboard_Query[[#This Row],[Current Usage]]=""),"",Dashboard_Query[[#This Row],[Current Usage]]/Dashboard_Query[[#This Row],[Monthly Allowance]])</f>
        <v>4.4399999999999978E-3</v>
      </c>
      <c r="T71" s="9">
        <f>IF(Dashboard_Query[[#This Row],[% Used]]="","",1-Dashboard_Query[[#This Row],[% Used]])</f>
        <v>0.99556</v>
      </c>
      <c r="U71" s="4">
        <f>IF(OR(Dashboard_Query[[#This Row],[Monthly Allowance]]="",Dashboard_Query[[#This Row],[Current Usage]]=""),"",MAX(0,Dashboard_Query[[#This Row],[Current Usage]]-Dashboard_Query[[#This Row],[Monthly Allowance]]))</f>
        <v>0</v>
      </c>
      <c r="V71" s="4" t="str">
        <f>IF(Dashboard_Query[[#This Row],[Monthly Allowance]]="","",IF(Dashboard_Query[[#This Row],[Overage]]&gt;0,"OVER",IF(Dashboard_Query[[#This Row],[% Used]]&gt;=0.8,"WARNING","OK")))</f>
        <v>OK</v>
      </c>
      <c r="W71" s="1"/>
      <c r="X71" s="1"/>
    </row>
    <row r="72" spans="1:24">
      <c r="A72" s="4" t="s">
        <v>128</v>
      </c>
      <c r="B72" s="4">
        <v>812801</v>
      </c>
      <c r="C72" s="4" t="s">
        <v>117</v>
      </c>
      <c r="D72" s="4" t="s">
        <v>42</v>
      </c>
      <c r="E72" s="4" t="s">
        <v>118</v>
      </c>
      <c r="F72" s="4">
        <v>211120259</v>
      </c>
      <c r="G72" s="6">
        <v>46189</v>
      </c>
      <c r="H72" s="6">
        <v>46219</v>
      </c>
      <c r="I72" s="32">
        <v>46250</v>
      </c>
      <c r="J72" s="1">
        <v>27</v>
      </c>
      <c r="K72" s="4">
        <v>500</v>
      </c>
      <c r="M72" s="4" t="s">
        <v>39</v>
      </c>
      <c r="N72" s="6">
        <v>46219</v>
      </c>
      <c r="O72" s="1">
        <v>500</v>
      </c>
      <c r="P72" s="4">
        <v>11.34</v>
      </c>
      <c r="Q72" s="4">
        <v>0</v>
      </c>
      <c r="R72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72" s="9">
        <f>IF(OR(Dashboard_Query[[#This Row],[Monthly Allowance]]="",Dashboard_Query[[#This Row],[Current Usage]]=""),"",Dashboard_Query[[#This Row],[Current Usage]]/Dashboard_Query[[#This Row],[Monthly Allowance]])</f>
        <v>0</v>
      </c>
      <c r="T72" s="9">
        <f>IF(Dashboard_Query[[#This Row],[% Used]]="","",1-Dashboard_Query[[#This Row],[% Used]])</f>
        <v>1</v>
      </c>
      <c r="U72" s="4">
        <f>IF(OR(Dashboard_Query[[#This Row],[Monthly Allowance]]="",Dashboard_Query[[#This Row],[Current Usage]]=""),"",MAX(0,Dashboard_Query[[#This Row],[Current Usage]]-Dashboard_Query[[#This Row],[Monthly Allowance]]))</f>
        <v>0</v>
      </c>
      <c r="V72" s="4" t="str">
        <f>IF(Dashboard_Query[[#This Row],[Monthly Allowance]]="","",IF(Dashboard_Query[[#This Row],[Overage]]&gt;0,"OVER",IF(Dashboard_Query[[#This Row],[% Used]]&gt;=0.8,"WARNING","OK")))</f>
        <v>OK</v>
      </c>
      <c r="W72" s="1"/>
      <c r="X72" s="1"/>
    </row>
    <row r="73" spans="1:24" hidden="1">
      <c r="A73" s="4" t="s">
        <v>129</v>
      </c>
      <c r="B73" s="4">
        <v>809621</v>
      </c>
      <c r="C73" s="4"/>
      <c r="D73" s="4"/>
      <c r="E73" s="4"/>
      <c r="F73" s="4"/>
      <c r="G73" s="6"/>
      <c r="H73" s="6"/>
      <c r="I73" s="32"/>
      <c r="J73" s="1"/>
      <c r="K73" s="4">
        <v>500</v>
      </c>
      <c r="M73" s="4" t="s">
        <v>74</v>
      </c>
      <c r="N73" s="6"/>
      <c r="O73" s="1">
        <v>500</v>
      </c>
      <c r="P73" s="4">
        <v>0</v>
      </c>
      <c r="Q73" s="4">
        <v>0</v>
      </c>
      <c r="R73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73" s="9">
        <f>IF(OR(Dashboard_Query[[#This Row],[Monthly Allowance]]="",Dashboard_Query[[#This Row],[Current Usage]]=""),"",Dashboard_Query[[#This Row],[Current Usage]]/Dashboard_Query[[#This Row],[Monthly Allowance]])</f>
        <v>0</v>
      </c>
      <c r="T73" s="9">
        <f>IF(Dashboard_Query[[#This Row],[% Used]]="","",1-Dashboard_Query[[#This Row],[% Used]])</f>
        <v>1</v>
      </c>
      <c r="U73" s="4">
        <f>IF(OR(Dashboard_Query[[#This Row],[Monthly Allowance]]="",Dashboard_Query[[#This Row],[Current Usage]]=""),"",MAX(0,Dashboard_Query[[#This Row],[Current Usage]]-Dashboard_Query[[#This Row],[Monthly Allowance]]))</f>
        <v>0</v>
      </c>
      <c r="V73" s="4" t="str">
        <f>IF(Dashboard_Query[[#This Row],[Monthly Allowance]]="","",IF(Dashboard_Query[[#This Row],[Overage]]&gt;0,"OVER",IF(Dashboard_Query[[#This Row],[% Used]]&gt;=0.8,"WARNING","OK")))</f>
        <v>OK</v>
      </c>
      <c r="W73" s="1"/>
      <c r="X73" s="1"/>
    </row>
    <row r="74" spans="1:24">
      <c r="A74" s="4" t="s">
        <v>130</v>
      </c>
      <c r="B74" s="4">
        <v>814485</v>
      </c>
      <c r="C74" s="4" t="s">
        <v>123</v>
      </c>
      <c r="D74" s="4" t="s">
        <v>124</v>
      </c>
      <c r="E74" s="4" t="s">
        <v>125</v>
      </c>
      <c r="F74" s="4">
        <v>211121067</v>
      </c>
      <c r="G74" s="6">
        <v>46219</v>
      </c>
      <c r="H74" s="6">
        <v>46219</v>
      </c>
      <c r="I74" s="32">
        <v>46250</v>
      </c>
      <c r="J74" s="1">
        <v>27</v>
      </c>
      <c r="K74" s="4">
        <v>500</v>
      </c>
      <c r="M74" s="4" t="s">
        <v>39</v>
      </c>
      <c r="N74" s="6">
        <v>46219</v>
      </c>
      <c r="O74" s="1">
        <v>50</v>
      </c>
      <c r="P74" s="4">
        <v>1.05</v>
      </c>
      <c r="Q74" s="4">
        <v>0</v>
      </c>
      <c r="R74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74" s="9">
        <f>IF(OR(Dashboard_Query[[#This Row],[Monthly Allowance]]="",Dashboard_Query[[#This Row],[Current Usage]]=""),"",Dashboard_Query[[#This Row],[Current Usage]]/Dashboard_Query[[#This Row],[Monthly Allowance]])</f>
        <v>0</v>
      </c>
      <c r="T74" s="9">
        <f>IF(Dashboard_Query[[#This Row],[% Used]]="","",1-Dashboard_Query[[#This Row],[% Used]])</f>
        <v>1</v>
      </c>
      <c r="U74" s="4">
        <f>IF(OR(Dashboard_Query[[#This Row],[Monthly Allowance]]="",Dashboard_Query[[#This Row],[Current Usage]]=""),"",MAX(0,Dashboard_Query[[#This Row],[Current Usage]]-Dashboard_Query[[#This Row],[Monthly Allowance]]))</f>
        <v>0</v>
      </c>
      <c r="V74" s="4" t="str">
        <f>IF(Dashboard_Query[[#This Row],[Monthly Allowance]]="","",IF(Dashboard_Query[[#This Row],[Overage]]&gt;0,"OVER",IF(Dashboard_Query[[#This Row],[% Used]]&gt;=0.8,"WARNING","OK")))</f>
        <v>OK</v>
      </c>
      <c r="W74" s="1"/>
      <c r="X74" s="1"/>
    </row>
    <row r="75" spans="1:24">
      <c r="A75" s="4" t="s">
        <v>131</v>
      </c>
      <c r="B75" s="4">
        <v>814430</v>
      </c>
      <c r="C75" s="4" t="s">
        <v>123</v>
      </c>
      <c r="D75" s="4" t="s">
        <v>124</v>
      </c>
      <c r="E75" s="4" t="s">
        <v>125</v>
      </c>
      <c r="F75" s="4">
        <v>211121067</v>
      </c>
      <c r="G75" s="6">
        <v>46219</v>
      </c>
      <c r="H75" s="6">
        <v>46219</v>
      </c>
      <c r="I75" s="32">
        <v>46250</v>
      </c>
      <c r="J75" s="1">
        <v>27</v>
      </c>
      <c r="K75" s="4">
        <v>500</v>
      </c>
      <c r="M75" s="4" t="s">
        <v>39</v>
      </c>
      <c r="N75" s="6">
        <v>46219</v>
      </c>
      <c r="O75" s="1">
        <v>50</v>
      </c>
      <c r="P75" s="4">
        <v>0.37</v>
      </c>
      <c r="Q75" s="4">
        <v>0</v>
      </c>
      <c r="R75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75" s="9">
        <f>IF(OR(Dashboard_Query[[#This Row],[Monthly Allowance]]="",Dashboard_Query[[#This Row],[Current Usage]]=""),"",Dashboard_Query[[#This Row],[Current Usage]]/Dashboard_Query[[#This Row],[Monthly Allowance]])</f>
        <v>0</v>
      </c>
      <c r="T75" s="9">
        <f>IF(Dashboard_Query[[#This Row],[% Used]]="","",1-Dashboard_Query[[#This Row],[% Used]])</f>
        <v>1</v>
      </c>
      <c r="U75" s="4">
        <f>IF(OR(Dashboard_Query[[#This Row],[Monthly Allowance]]="",Dashboard_Query[[#This Row],[Current Usage]]=""),"",MAX(0,Dashboard_Query[[#This Row],[Current Usage]]-Dashboard_Query[[#This Row],[Monthly Allowance]]))</f>
        <v>0</v>
      </c>
      <c r="V75" s="4" t="str">
        <f>IF(Dashboard_Query[[#This Row],[Monthly Allowance]]="","",IF(Dashboard_Query[[#This Row],[Overage]]&gt;0,"OVER",IF(Dashboard_Query[[#This Row],[% Used]]&gt;=0.8,"WARNING","OK")))</f>
        <v>OK</v>
      </c>
      <c r="W75" s="1"/>
      <c r="X75" s="1"/>
    </row>
    <row r="76" spans="1:24" hidden="1">
      <c r="A76" s="4" t="s">
        <v>132</v>
      </c>
      <c r="B76" s="4">
        <v>809622</v>
      </c>
      <c r="C76" s="4"/>
      <c r="D76" s="4"/>
      <c r="E76" s="4"/>
      <c r="F76" s="4"/>
      <c r="G76" s="6"/>
      <c r="H76" s="6"/>
      <c r="I76" s="32"/>
      <c r="J76" s="1"/>
      <c r="K76" s="4">
        <v>500</v>
      </c>
      <c r="M76" s="4" t="s">
        <v>74</v>
      </c>
      <c r="N76" s="6"/>
      <c r="O76" s="1">
        <v>500</v>
      </c>
      <c r="P76" s="4">
        <v>0</v>
      </c>
      <c r="Q76" s="4">
        <v>0</v>
      </c>
      <c r="R76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76" s="9">
        <f>IF(OR(Dashboard_Query[[#This Row],[Monthly Allowance]]="",Dashboard_Query[[#This Row],[Current Usage]]=""),"",Dashboard_Query[[#This Row],[Current Usage]]/Dashboard_Query[[#This Row],[Monthly Allowance]])</f>
        <v>0</v>
      </c>
      <c r="T76" s="9">
        <f>IF(Dashboard_Query[[#This Row],[% Used]]="","",1-Dashboard_Query[[#This Row],[% Used]])</f>
        <v>1</v>
      </c>
      <c r="U76" s="4">
        <f>IF(OR(Dashboard_Query[[#This Row],[Monthly Allowance]]="",Dashboard_Query[[#This Row],[Current Usage]]=""),"",MAX(0,Dashboard_Query[[#This Row],[Current Usage]]-Dashboard_Query[[#This Row],[Monthly Allowance]]))</f>
        <v>0</v>
      </c>
      <c r="V76" s="4" t="str">
        <f>IF(Dashboard_Query[[#This Row],[Monthly Allowance]]="","",IF(Dashboard_Query[[#This Row],[Overage]]&gt;0,"OVER",IF(Dashboard_Query[[#This Row],[% Used]]&gt;=0.8,"WARNING","OK")))</f>
        <v>OK</v>
      </c>
      <c r="W76" s="1"/>
      <c r="X76" s="1"/>
    </row>
    <row r="77" spans="1:24">
      <c r="A77" s="4" t="s">
        <v>133</v>
      </c>
      <c r="B77" s="4">
        <v>814493</v>
      </c>
      <c r="C77" s="4" t="s">
        <v>123</v>
      </c>
      <c r="D77" s="4" t="s">
        <v>124</v>
      </c>
      <c r="E77" s="4" t="s">
        <v>125</v>
      </c>
      <c r="F77" s="4">
        <v>211121067</v>
      </c>
      <c r="G77" s="6">
        <v>46219</v>
      </c>
      <c r="H77" s="6">
        <v>46219</v>
      </c>
      <c r="I77" s="32">
        <v>46250</v>
      </c>
      <c r="J77" s="1">
        <v>27</v>
      </c>
      <c r="K77" s="4">
        <v>1000</v>
      </c>
      <c r="M77" s="4" t="s">
        <v>39</v>
      </c>
      <c r="N77" s="6">
        <v>46219</v>
      </c>
      <c r="O77" s="1">
        <v>50</v>
      </c>
      <c r="P77" s="4">
        <v>86.81</v>
      </c>
      <c r="Q77" s="4">
        <v>86.67</v>
      </c>
      <c r="R77" s="4">
        <f>IF(
    OR(Dashboard_Query[[#This Row],[Monthly Allowance]]="",Dashboard_Query[[#This Row],[Current Usage]]=""),
    "",
    MAX(0,Dashboard_Query[[#This Row],[Monthly Allowance]]-Dashboard_Query[[#This Row],[Current Usage]])
)</f>
        <v>913.33</v>
      </c>
      <c r="S77" s="9">
        <f>IF(OR(Dashboard_Query[[#This Row],[Monthly Allowance]]="",Dashboard_Query[[#This Row],[Current Usage]]=""),"",Dashboard_Query[[#This Row],[Current Usage]]/Dashboard_Query[[#This Row],[Monthly Allowance]])</f>
        <v>8.6669999999999997E-2</v>
      </c>
      <c r="T77" s="9">
        <f>IF(Dashboard_Query[[#This Row],[% Used]]="","",1-Dashboard_Query[[#This Row],[% Used]])</f>
        <v>0.91332999999999998</v>
      </c>
      <c r="U77" s="4">
        <f>IF(OR(Dashboard_Query[[#This Row],[Monthly Allowance]]="",Dashboard_Query[[#This Row],[Current Usage]]=""),"",MAX(0,Dashboard_Query[[#This Row],[Current Usage]]-Dashboard_Query[[#This Row],[Monthly Allowance]]))</f>
        <v>0</v>
      </c>
      <c r="V77" s="4" t="str">
        <f>IF(Dashboard_Query[[#This Row],[Monthly Allowance]]="","",IF(Dashboard_Query[[#This Row],[Overage]]&gt;0,"OVER",IF(Dashboard_Query[[#This Row],[% Used]]&gt;=0.8,"WARNING","OK")))</f>
        <v>OK</v>
      </c>
      <c r="W77" s="1"/>
      <c r="X77" s="1"/>
    </row>
    <row r="78" spans="1:24">
      <c r="A78" s="4" t="s">
        <v>134</v>
      </c>
      <c r="B78" s="4">
        <v>814436</v>
      </c>
      <c r="C78" s="4" t="s">
        <v>123</v>
      </c>
      <c r="D78" s="4" t="s">
        <v>124</v>
      </c>
      <c r="E78" s="4" t="s">
        <v>125</v>
      </c>
      <c r="F78" s="4">
        <v>211121067</v>
      </c>
      <c r="G78" s="6">
        <v>46219</v>
      </c>
      <c r="H78" s="6">
        <v>46219</v>
      </c>
      <c r="I78" s="32">
        <v>46250</v>
      </c>
      <c r="J78" s="1">
        <v>27</v>
      </c>
      <c r="K78" s="4">
        <v>500</v>
      </c>
      <c r="M78" s="4" t="s">
        <v>39</v>
      </c>
      <c r="N78" s="6">
        <v>46219</v>
      </c>
      <c r="O78" s="1">
        <v>50</v>
      </c>
      <c r="P78" s="4">
        <v>1.54</v>
      </c>
      <c r="Q78" s="4">
        <v>1.42</v>
      </c>
      <c r="R78" s="4">
        <f>IF(
    OR(Dashboard_Query[[#This Row],[Monthly Allowance]]="",Dashboard_Query[[#This Row],[Current Usage]]=""),
    "",
    MAX(0,Dashboard_Query[[#This Row],[Monthly Allowance]]-Dashboard_Query[[#This Row],[Current Usage]])
)</f>
        <v>498.58</v>
      </c>
      <c r="S78" s="9">
        <f>IF(OR(Dashboard_Query[[#This Row],[Monthly Allowance]]="",Dashboard_Query[[#This Row],[Current Usage]]=""),"",Dashboard_Query[[#This Row],[Current Usage]]/Dashboard_Query[[#This Row],[Monthly Allowance]])</f>
        <v>2.8399999999999996E-3</v>
      </c>
      <c r="T78" s="9">
        <f>IF(Dashboard_Query[[#This Row],[% Used]]="","",1-Dashboard_Query[[#This Row],[% Used]])</f>
        <v>0.99716000000000005</v>
      </c>
      <c r="U78" s="4">
        <f>IF(OR(Dashboard_Query[[#This Row],[Monthly Allowance]]="",Dashboard_Query[[#This Row],[Current Usage]]=""),"",MAX(0,Dashboard_Query[[#This Row],[Current Usage]]-Dashboard_Query[[#This Row],[Monthly Allowance]]))</f>
        <v>0</v>
      </c>
      <c r="V78" s="4" t="str">
        <f>IF(Dashboard_Query[[#This Row],[Monthly Allowance]]="","",IF(Dashboard_Query[[#This Row],[Overage]]&gt;0,"OVER",IF(Dashboard_Query[[#This Row],[% Used]]&gt;=0.8,"WARNING","OK")))</f>
        <v>OK</v>
      </c>
      <c r="W78" s="1"/>
      <c r="X78" s="1"/>
    </row>
    <row r="79" spans="1:24" hidden="1">
      <c r="A79" s="4" t="s">
        <v>135</v>
      </c>
      <c r="B79" s="4">
        <v>809623</v>
      </c>
      <c r="C79" s="4"/>
      <c r="D79" s="4"/>
      <c r="E79" s="4"/>
      <c r="F79" s="4"/>
      <c r="G79" s="6"/>
      <c r="H79" s="6"/>
      <c r="I79" s="32"/>
      <c r="J79" s="1"/>
      <c r="K79" s="4">
        <v>500</v>
      </c>
      <c r="M79" s="4" t="s">
        <v>74</v>
      </c>
      <c r="N79" s="6"/>
      <c r="O79" s="1">
        <v>500</v>
      </c>
      <c r="P79" s="4">
        <v>0</v>
      </c>
      <c r="Q79" s="4">
        <v>0</v>
      </c>
      <c r="R79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79" s="9">
        <f>IF(OR(Dashboard_Query[[#This Row],[Monthly Allowance]]="",Dashboard_Query[[#This Row],[Current Usage]]=""),"",Dashboard_Query[[#This Row],[Current Usage]]/Dashboard_Query[[#This Row],[Monthly Allowance]])</f>
        <v>0</v>
      </c>
      <c r="T79" s="9">
        <f>IF(Dashboard_Query[[#This Row],[% Used]]="","",1-Dashboard_Query[[#This Row],[% Used]])</f>
        <v>1</v>
      </c>
      <c r="U79" s="4">
        <f>IF(OR(Dashboard_Query[[#This Row],[Monthly Allowance]]="",Dashboard_Query[[#This Row],[Current Usage]]=""),"",MAX(0,Dashboard_Query[[#This Row],[Current Usage]]-Dashboard_Query[[#This Row],[Monthly Allowance]]))</f>
        <v>0</v>
      </c>
      <c r="V79" s="4" t="str">
        <f>IF(Dashboard_Query[[#This Row],[Monthly Allowance]]="","",IF(Dashboard_Query[[#This Row],[Overage]]&gt;0,"OVER",IF(Dashboard_Query[[#This Row],[% Used]]&gt;=0.8,"WARNING","OK")))</f>
        <v>OK</v>
      </c>
      <c r="W79" s="1"/>
      <c r="X79" s="1"/>
    </row>
    <row r="80" spans="1:24">
      <c r="A80" s="4" t="s">
        <v>136</v>
      </c>
      <c r="B80" s="4">
        <v>814431</v>
      </c>
      <c r="C80" s="4" t="s">
        <v>123</v>
      </c>
      <c r="D80" s="4" t="s">
        <v>124</v>
      </c>
      <c r="E80" s="4" t="s">
        <v>125</v>
      </c>
      <c r="F80" s="4">
        <v>211121067</v>
      </c>
      <c r="G80" s="6">
        <v>46219</v>
      </c>
      <c r="H80" s="6">
        <v>46219</v>
      </c>
      <c r="I80" s="32">
        <v>46250</v>
      </c>
      <c r="J80" s="1">
        <v>27</v>
      </c>
      <c r="K80" s="4">
        <v>500</v>
      </c>
      <c r="M80" s="4" t="s">
        <v>39</v>
      </c>
      <c r="N80" s="6">
        <v>46219</v>
      </c>
      <c r="O80" s="1">
        <v>50</v>
      </c>
      <c r="P80" s="4">
        <v>4.26</v>
      </c>
      <c r="Q80" s="4">
        <v>4.1399999999999997</v>
      </c>
      <c r="R80" s="4">
        <f>IF(
    OR(Dashboard_Query[[#This Row],[Monthly Allowance]]="",Dashboard_Query[[#This Row],[Current Usage]]=""),
    "",
    MAX(0,Dashboard_Query[[#This Row],[Monthly Allowance]]-Dashboard_Query[[#This Row],[Current Usage]])
)</f>
        <v>495.86</v>
      </c>
      <c r="S80" s="9">
        <f>IF(OR(Dashboard_Query[[#This Row],[Monthly Allowance]]="",Dashboard_Query[[#This Row],[Current Usage]]=""),"",Dashboard_Query[[#This Row],[Current Usage]]/Dashboard_Query[[#This Row],[Monthly Allowance]])</f>
        <v>8.2799999999999992E-3</v>
      </c>
      <c r="T80" s="9">
        <f>IF(Dashboard_Query[[#This Row],[% Used]]="","",1-Dashboard_Query[[#This Row],[% Used]])</f>
        <v>0.99172000000000005</v>
      </c>
      <c r="U80" s="4">
        <f>IF(OR(Dashboard_Query[[#This Row],[Monthly Allowance]]="",Dashboard_Query[[#This Row],[Current Usage]]=""),"",MAX(0,Dashboard_Query[[#This Row],[Current Usage]]-Dashboard_Query[[#This Row],[Monthly Allowance]]))</f>
        <v>0</v>
      </c>
      <c r="V80" s="4" t="str">
        <f>IF(Dashboard_Query[[#This Row],[Monthly Allowance]]="","",IF(Dashboard_Query[[#This Row],[Overage]]&gt;0,"OVER",IF(Dashboard_Query[[#This Row],[% Used]]&gt;=0.8,"WARNING","OK")))</f>
        <v>OK</v>
      </c>
      <c r="W80" s="1"/>
      <c r="X80" s="1"/>
    </row>
    <row r="81" spans="1:24">
      <c r="A81" s="4" t="s">
        <v>137</v>
      </c>
      <c r="B81" s="4">
        <v>812921</v>
      </c>
      <c r="C81" s="4" t="s">
        <v>123</v>
      </c>
      <c r="D81" s="4" t="s">
        <v>124</v>
      </c>
      <c r="E81" s="4" t="s">
        <v>125</v>
      </c>
      <c r="F81" s="4">
        <v>211121067</v>
      </c>
      <c r="G81" s="6">
        <v>46219</v>
      </c>
      <c r="H81" s="6">
        <v>46219</v>
      </c>
      <c r="I81" s="32">
        <v>46250</v>
      </c>
      <c r="J81" s="1">
        <v>27</v>
      </c>
      <c r="K81" s="4">
        <v>1000</v>
      </c>
      <c r="M81" s="4" t="s">
        <v>39</v>
      </c>
      <c r="N81" s="6">
        <v>46219</v>
      </c>
      <c r="O81" s="1">
        <v>500</v>
      </c>
      <c r="P81" s="4">
        <v>87.01</v>
      </c>
      <c r="Q81" s="4">
        <v>87.01</v>
      </c>
      <c r="R81" s="4">
        <f>IF(
    OR(Dashboard_Query[[#This Row],[Monthly Allowance]]="",Dashboard_Query[[#This Row],[Current Usage]]=""),
    "",
    MAX(0,Dashboard_Query[[#This Row],[Monthly Allowance]]-Dashboard_Query[[#This Row],[Current Usage]])
)</f>
        <v>912.99</v>
      </c>
      <c r="S81" s="9">
        <f>IF(OR(Dashboard_Query[[#This Row],[Monthly Allowance]]="",Dashboard_Query[[#This Row],[Current Usage]]=""),"",Dashboard_Query[[#This Row],[Current Usage]]/Dashboard_Query[[#This Row],[Monthly Allowance]])</f>
        <v>8.7010000000000004E-2</v>
      </c>
      <c r="T81" s="9">
        <f>IF(Dashboard_Query[[#This Row],[% Used]]="","",1-Dashboard_Query[[#This Row],[% Used]])</f>
        <v>0.91298999999999997</v>
      </c>
      <c r="U81" s="4">
        <f>IF(OR(Dashboard_Query[[#This Row],[Monthly Allowance]]="",Dashboard_Query[[#This Row],[Current Usage]]=""),"",MAX(0,Dashboard_Query[[#This Row],[Current Usage]]-Dashboard_Query[[#This Row],[Monthly Allowance]]))</f>
        <v>0</v>
      </c>
      <c r="V81" s="4" t="str">
        <f>IF(Dashboard_Query[[#This Row],[Monthly Allowance]]="","",IF(Dashboard_Query[[#This Row],[Overage]]&gt;0,"OVER",IF(Dashboard_Query[[#This Row],[% Used]]&gt;=0.8,"WARNING","OK")))</f>
        <v>OK</v>
      </c>
      <c r="W81" s="1"/>
      <c r="X81" s="1"/>
    </row>
    <row r="82" spans="1:24">
      <c r="A82" s="4" t="s">
        <v>138</v>
      </c>
      <c r="B82" s="4">
        <v>814435</v>
      </c>
      <c r="C82" s="4" t="s">
        <v>123</v>
      </c>
      <c r="D82" s="4" t="s">
        <v>124</v>
      </c>
      <c r="E82" s="4" t="s">
        <v>125</v>
      </c>
      <c r="F82" s="4">
        <v>211121067</v>
      </c>
      <c r="G82" s="6">
        <v>46219</v>
      </c>
      <c r="H82" s="6">
        <v>46219</v>
      </c>
      <c r="I82" s="32">
        <v>46250</v>
      </c>
      <c r="J82" s="1">
        <v>27</v>
      </c>
      <c r="K82" s="4">
        <v>500</v>
      </c>
      <c r="M82" s="4" t="s">
        <v>39</v>
      </c>
      <c r="N82" s="6">
        <v>46219</v>
      </c>
      <c r="O82" s="1">
        <v>50</v>
      </c>
      <c r="P82" s="4">
        <v>8.43</v>
      </c>
      <c r="Q82" s="4">
        <v>8.31</v>
      </c>
      <c r="R82" s="4">
        <f>IF(
    OR(Dashboard_Query[[#This Row],[Monthly Allowance]]="",Dashboard_Query[[#This Row],[Current Usage]]=""),
    "",
    MAX(0,Dashboard_Query[[#This Row],[Monthly Allowance]]-Dashboard_Query[[#This Row],[Current Usage]])
)</f>
        <v>491.69</v>
      </c>
      <c r="S82" s="9">
        <f>IF(OR(Dashboard_Query[[#This Row],[Monthly Allowance]]="",Dashboard_Query[[#This Row],[Current Usage]]=""),"",Dashboard_Query[[#This Row],[Current Usage]]/Dashboard_Query[[#This Row],[Monthly Allowance]])</f>
        <v>1.6619999999999999E-2</v>
      </c>
      <c r="T82" s="9">
        <f>IF(Dashboard_Query[[#This Row],[% Used]]="","",1-Dashboard_Query[[#This Row],[% Used]])</f>
        <v>0.98338000000000003</v>
      </c>
      <c r="U82" s="4">
        <f>IF(OR(Dashboard_Query[[#This Row],[Monthly Allowance]]="",Dashboard_Query[[#This Row],[Current Usage]]=""),"",MAX(0,Dashboard_Query[[#This Row],[Current Usage]]-Dashboard_Query[[#This Row],[Monthly Allowance]]))</f>
        <v>0</v>
      </c>
      <c r="V82" s="4" t="str">
        <f>IF(Dashboard_Query[[#This Row],[Monthly Allowance]]="","",IF(Dashboard_Query[[#This Row],[Overage]]&gt;0,"OVER",IF(Dashboard_Query[[#This Row],[% Used]]&gt;=0.8,"WARNING","OK")))</f>
        <v>OK</v>
      </c>
      <c r="W82" s="1"/>
      <c r="X82" s="1"/>
    </row>
    <row r="83" spans="1:24">
      <c r="A83" s="4" t="s">
        <v>139</v>
      </c>
      <c r="B83" s="4">
        <v>809657</v>
      </c>
      <c r="C83" s="4" t="s">
        <v>123</v>
      </c>
      <c r="D83" s="4" t="s">
        <v>124</v>
      </c>
      <c r="E83" s="4" t="s">
        <v>125</v>
      </c>
      <c r="F83" s="4">
        <v>211121067</v>
      </c>
      <c r="G83" s="6">
        <v>46219</v>
      </c>
      <c r="H83" s="6">
        <v>46219</v>
      </c>
      <c r="I83" s="32">
        <v>46250</v>
      </c>
      <c r="J83" s="1">
        <v>27</v>
      </c>
      <c r="K83" s="4">
        <v>500</v>
      </c>
      <c r="M83" s="4" t="s">
        <v>39</v>
      </c>
      <c r="N83" s="6">
        <v>46219</v>
      </c>
      <c r="O83" s="1">
        <v>500</v>
      </c>
      <c r="P83" s="4">
        <v>0</v>
      </c>
      <c r="Q83" s="4">
        <v>0</v>
      </c>
      <c r="R83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83" s="9">
        <f>IF(OR(Dashboard_Query[[#This Row],[Monthly Allowance]]="",Dashboard_Query[[#This Row],[Current Usage]]=""),"",Dashboard_Query[[#This Row],[Current Usage]]/Dashboard_Query[[#This Row],[Monthly Allowance]])</f>
        <v>0</v>
      </c>
      <c r="T83" s="9">
        <f>IF(Dashboard_Query[[#This Row],[% Used]]="","",1-Dashboard_Query[[#This Row],[% Used]])</f>
        <v>1</v>
      </c>
      <c r="U83" s="4">
        <f>IF(OR(Dashboard_Query[[#This Row],[Monthly Allowance]]="",Dashboard_Query[[#This Row],[Current Usage]]=""),"",MAX(0,Dashboard_Query[[#This Row],[Current Usage]]-Dashboard_Query[[#This Row],[Monthly Allowance]]))</f>
        <v>0</v>
      </c>
      <c r="V83" s="4" t="str">
        <f>IF(Dashboard_Query[[#This Row],[Monthly Allowance]]="","",IF(Dashboard_Query[[#This Row],[Overage]]&gt;0,"OVER",IF(Dashboard_Query[[#This Row],[% Used]]&gt;=0.8,"WARNING","OK")))</f>
        <v>OK</v>
      </c>
      <c r="W83" s="1"/>
      <c r="X83" s="1"/>
    </row>
    <row r="84" spans="1:24">
      <c r="A84" s="4" t="s">
        <v>140</v>
      </c>
      <c r="B84" s="4">
        <v>814472</v>
      </c>
      <c r="C84" s="4" t="s">
        <v>123</v>
      </c>
      <c r="D84" s="4" t="s">
        <v>124</v>
      </c>
      <c r="E84" s="4" t="s">
        <v>125</v>
      </c>
      <c r="F84" s="4">
        <v>211121067</v>
      </c>
      <c r="G84" s="6">
        <v>46219</v>
      </c>
      <c r="H84" s="6">
        <v>46219</v>
      </c>
      <c r="I84" s="32">
        <v>46250</v>
      </c>
      <c r="J84" s="1">
        <v>27</v>
      </c>
      <c r="K84" s="4">
        <v>500</v>
      </c>
      <c r="M84" s="4" t="s">
        <v>39</v>
      </c>
      <c r="N84" s="6">
        <v>46219</v>
      </c>
      <c r="O84" s="1">
        <v>50</v>
      </c>
      <c r="P84" s="4">
        <v>0.1</v>
      </c>
      <c r="Q84" s="4">
        <v>0</v>
      </c>
      <c r="R84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84" s="9">
        <f>IF(OR(Dashboard_Query[[#This Row],[Monthly Allowance]]="",Dashboard_Query[[#This Row],[Current Usage]]=""),"",Dashboard_Query[[#This Row],[Current Usage]]/Dashboard_Query[[#This Row],[Monthly Allowance]])</f>
        <v>0</v>
      </c>
      <c r="T84" s="9">
        <f>IF(Dashboard_Query[[#This Row],[% Used]]="","",1-Dashboard_Query[[#This Row],[% Used]])</f>
        <v>1</v>
      </c>
      <c r="U84" s="4">
        <f>IF(OR(Dashboard_Query[[#This Row],[Monthly Allowance]]="",Dashboard_Query[[#This Row],[Current Usage]]=""),"",MAX(0,Dashboard_Query[[#This Row],[Current Usage]]-Dashboard_Query[[#This Row],[Monthly Allowance]]))</f>
        <v>0</v>
      </c>
      <c r="V84" s="4" t="str">
        <f>IF(Dashboard_Query[[#This Row],[Monthly Allowance]]="","",IF(Dashboard_Query[[#This Row],[Overage]]&gt;0,"OVER",IF(Dashboard_Query[[#This Row],[% Used]]&gt;=0.8,"WARNING","OK")))</f>
        <v>OK</v>
      </c>
      <c r="W84" s="1"/>
      <c r="X84" s="1"/>
    </row>
    <row r="85" spans="1:24">
      <c r="A85" s="4" t="s">
        <v>141</v>
      </c>
      <c r="B85" s="4">
        <v>814484</v>
      </c>
      <c r="C85" s="4" t="s">
        <v>123</v>
      </c>
      <c r="D85" s="4" t="s">
        <v>124</v>
      </c>
      <c r="E85" s="4" t="s">
        <v>125</v>
      </c>
      <c r="F85" s="4">
        <v>211121067</v>
      </c>
      <c r="G85" s="6">
        <v>46219</v>
      </c>
      <c r="H85" s="6">
        <v>46219</v>
      </c>
      <c r="I85" s="32">
        <v>46250</v>
      </c>
      <c r="J85" s="1">
        <v>27</v>
      </c>
      <c r="K85" s="4">
        <v>500</v>
      </c>
      <c r="M85" s="4" t="s">
        <v>39</v>
      </c>
      <c r="N85" s="6">
        <v>46219</v>
      </c>
      <c r="O85" s="1">
        <v>50</v>
      </c>
      <c r="P85" s="4">
        <v>0.1</v>
      </c>
      <c r="Q85" s="4">
        <v>0</v>
      </c>
      <c r="R85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85" s="9">
        <f>IF(OR(Dashboard_Query[[#This Row],[Monthly Allowance]]="",Dashboard_Query[[#This Row],[Current Usage]]=""),"",Dashboard_Query[[#This Row],[Current Usage]]/Dashboard_Query[[#This Row],[Monthly Allowance]])</f>
        <v>0</v>
      </c>
      <c r="T85" s="9">
        <f>IF(Dashboard_Query[[#This Row],[% Used]]="","",1-Dashboard_Query[[#This Row],[% Used]])</f>
        <v>1</v>
      </c>
      <c r="U85" s="4">
        <f>IF(OR(Dashboard_Query[[#This Row],[Monthly Allowance]]="",Dashboard_Query[[#This Row],[Current Usage]]=""),"",MAX(0,Dashboard_Query[[#This Row],[Current Usage]]-Dashboard_Query[[#This Row],[Monthly Allowance]]))</f>
        <v>0</v>
      </c>
      <c r="V85" s="4" t="str">
        <f>IF(Dashboard_Query[[#This Row],[Monthly Allowance]]="","",IF(Dashboard_Query[[#This Row],[Overage]]&gt;0,"OVER",IF(Dashboard_Query[[#This Row],[% Used]]&gt;=0.8,"WARNING","OK")))</f>
        <v>OK</v>
      </c>
      <c r="W85" s="1"/>
      <c r="X85" s="1"/>
    </row>
    <row r="86" spans="1:24">
      <c r="A86" s="4" t="s">
        <v>142</v>
      </c>
      <c r="B86" s="4">
        <v>809658</v>
      </c>
      <c r="C86" s="4" t="s">
        <v>123</v>
      </c>
      <c r="D86" s="4" t="s">
        <v>124</v>
      </c>
      <c r="E86" s="4" t="s">
        <v>125</v>
      </c>
      <c r="F86" s="4">
        <v>211121067</v>
      </c>
      <c r="G86" s="6">
        <v>46219</v>
      </c>
      <c r="H86" s="6">
        <v>46219</v>
      </c>
      <c r="I86" s="32">
        <v>46250</v>
      </c>
      <c r="J86" s="1">
        <v>27</v>
      </c>
      <c r="K86" s="4">
        <v>500</v>
      </c>
      <c r="M86" s="4" t="s">
        <v>39</v>
      </c>
      <c r="N86" s="6">
        <v>46219</v>
      </c>
      <c r="O86" s="1">
        <v>500</v>
      </c>
      <c r="P86" s="4">
        <v>19.78</v>
      </c>
      <c r="Q86" s="4">
        <v>19.78</v>
      </c>
      <c r="R86" s="4">
        <f>IF(
    OR(Dashboard_Query[[#This Row],[Monthly Allowance]]="",Dashboard_Query[[#This Row],[Current Usage]]=""),
    "",
    MAX(0,Dashboard_Query[[#This Row],[Monthly Allowance]]-Dashboard_Query[[#This Row],[Current Usage]])
)</f>
        <v>480.22</v>
      </c>
      <c r="S86" s="9">
        <f>IF(OR(Dashboard_Query[[#This Row],[Monthly Allowance]]="",Dashboard_Query[[#This Row],[Current Usage]]=""),"",Dashboard_Query[[#This Row],[Current Usage]]/Dashboard_Query[[#This Row],[Monthly Allowance]])</f>
        <v>3.9560000000000005E-2</v>
      </c>
      <c r="T86" s="9">
        <f>IF(Dashboard_Query[[#This Row],[% Used]]="","",1-Dashboard_Query[[#This Row],[% Used]])</f>
        <v>0.96043999999999996</v>
      </c>
      <c r="U86" s="4">
        <f>IF(OR(Dashboard_Query[[#This Row],[Monthly Allowance]]="",Dashboard_Query[[#This Row],[Current Usage]]=""),"",MAX(0,Dashboard_Query[[#This Row],[Current Usage]]-Dashboard_Query[[#This Row],[Monthly Allowance]]))</f>
        <v>0</v>
      </c>
      <c r="V86" s="4" t="str">
        <f>IF(Dashboard_Query[[#This Row],[Monthly Allowance]]="","",IF(Dashboard_Query[[#This Row],[Overage]]&gt;0,"OVER",IF(Dashboard_Query[[#This Row],[% Used]]&gt;=0.8,"WARNING","OK")))</f>
        <v>OK</v>
      </c>
      <c r="W86" s="1"/>
      <c r="X86" s="1"/>
    </row>
    <row r="87" spans="1:24">
      <c r="A87" s="4" t="s">
        <v>143</v>
      </c>
      <c r="B87" s="4">
        <v>814464</v>
      </c>
      <c r="C87" s="4" t="s">
        <v>123</v>
      </c>
      <c r="D87" s="4" t="s">
        <v>124</v>
      </c>
      <c r="E87" s="4" t="s">
        <v>125</v>
      </c>
      <c r="F87" s="4">
        <v>211121067</v>
      </c>
      <c r="G87" s="6">
        <v>46219</v>
      </c>
      <c r="H87" s="6">
        <v>46219</v>
      </c>
      <c r="I87" s="32">
        <v>46250</v>
      </c>
      <c r="J87" s="1">
        <v>27</v>
      </c>
      <c r="K87" s="4">
        <v>500</v>
      </c>
      <c r="M87" s="4" t="s">
        <v>39</v>
      </c>
      <c r="N87" s="6">
        <v>46219</v>
      </c>
      <c r="O87" s="1">
        <v>50</v>
      </c>
      <c r="P87" s="4">
        <v>0.09</v>
      </c>
      <c r="Q87" s="4">
        <v>0</v>
      </c>
      <c r="R87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87" s="9">
        <f>IF(OR(Dashboard_Query[[#This Row],[Monthly Allowance]]="",Dashboard_Query[[#This Row],[Current Usage]]=""),"",Dashboard_Query[[#This Row],[Current Usage]]/Dashboard_Query[[#This Row],[Monthly Allowance]])</f>
        <v>0</v>
      </c>
      <c r="T87" s="9">
        <f>IF(Dashboard_Query[[#This Row],[% Used]]="","",1-Dashboard_Query[[#This Row],[% Used]])</f>
        <v>1</v>
      </c>
      <c r="U87" s="4">
        <f>IF(OR(Dashboard_Query[[#This Row],[Monthly Allowance]]="",Dashboard_Query[[#This Row],[Current Usage]]=""),"",MAX(0,Dashboard_Query[[#This Row],[Current Usage]]-Dashboard_Query[[#This Row],[Monthly Allowance]]))</f>
        <v>0</v>
      </c>
      <c r="V87" s="4" t="str">
        <f>IF(Dashboard_Query[[#This Row],[Monthly Allowance]]="","",IF(Dashboard_Query[[#This Row],[Overage]]&gt;0,"OVER",IF(Dashboard_Query[[#This Row],[% Used]]&gt;=0.8,"WARNING","OK")))</f>
        <v>OK</v>
      </c>
      <c r="W87" s="1"/>
      <c r="X87" s="1"/>
    </row>
    <row r="88" spans="1:24">
      <c r="A88" s="4" t="s">
        <v>144</v>
      </c>
      <c r="B88" s="4">
        <v>814451</v>
      </c>
      <c r="C88" s="4" t="s">
        <v>123</v>
      </c>
      <c r="D88" s="4" t="s">
        <v>124</v>
      </c>
      <c r="E88" s="4" t="s">
        <v>125</v>
      </c>
      <c r="F88" s="4">
        <v>211121067</v>
      </c>
      <c r="G88" s="6">
        <v>46219</v>
      </c>
      <c r="H88" s="6">
        <v>46219</v>
      </c>
      <c r="I88" s="32">
        <v>46250</v>
      </c>
      <c r="J88" s="1">
        <v>27</v>
      </c>
      <c r="K88" s="4">
        <v>500</v>
      </c>
      <c r="M88" s="4" t="s">
        <v>39</v>
      </c>
      <c r="N88" s="6">
        <v>46219</v>
      </c>
      <c r="O88" s="1">
        <v>50</v>
      </c>
      <c r="P88" s="4">
        <v>2.08</v>
      </c>
      <c r="Q88" s="4">
        <v>1.99</v>
      </c>
      <c r="R88" s="4">
        <f>IF(
    OR(Dashboard_Query[[#This Row],[Monthly Allowance]]="",Dashboard_Query[[#This Row],[Current Usage]]=""),
    "",
    MAX(0,Dashboard_Query[[#This Row],[Monthly Allowance]]-Dashboard_Query[[#This Row],[Current Usage]])
)</f>
        <v>498.01</v>
      </c>
      <c r="S88" s="9">
        <f>IF(OR(Dashboard_Query[[#This Row],[Monthly Allowance]]="",Dashboard_Query[[#This Row],[Current Usage]]=""),"",Dashboard_Query[[#This Row],[Current Usage]]/Dashboard_Query[[#This Row],[Monthly Allowance]])</f>
        <v>3.98E-3</v>
      </c>
      <c r="T88" s="9">
        <f>IF(Dashboard_Query[[#This Row],[% Used]]="","",1-Dashboard_Query[[#This Row],[% Used]])</f>
        <v>0.99602000000000002</v>
      </c>
      <c r="U88" s="4">
        <f>IF(OR(Dashboard_Query[[#This Row],[Monthly Allowance]]="",Dashboard_Query[[#This Row],[Current Usage]]=""),"",MAX(0,Dashboard_Query[[#This Row],[Current Usage]]-Dashboard_Query[[#This Row],[Monthly Allowance]]))</f>
        <v>0</v>
      </c>
      <c r="V88" s="4" t="str">
        <f>IF(Dashboard_Query[[#This Row],[Monthly Allowance]]="","",IF(Dashboard_Query[[#This Row],[Overage]]&gt;0,"OVER",IF(Dashboard_Query[[#This Row],[% Used]]&gt;=0.8,"WARNING","OK")))</f>
        <v>OK</v>
      </c>
      <c r="W88" s="1"/>
      <c r="X88" s="1"/>
    </row>
    <row r="89" spans="1:24">
      <c r="A89" s="4" t="s">
        <v>145</v>
      </c>
      <c r="B89" s="4">
        <v>809659</v>
      </c>
      <c r="C89" s="4" t="s">
        <v>146</v>
      </c>
      <c r="D89" s="4" t="s">
        <v>147</v>
      </c>
      <c r="E89" s="4" t="s">
        <v>148</v>
      </c>
      <c r="F89" s="4">
        <v>211121149</v>
      </c>
      <c r="G89" s="6">
        <v>46221</v>
      </c>
      <c r="H89" s="6">
        <v>46221</v>
      </c>
      <c r="I89" s="32">
        <v>46252</v>
      </c>
      <c r="J89" s="1">
        <v>29</v>
      </c>
      <c r="K89" s="4">
        <v>500</v>
      </c>
      <c r="M89" s="4" t="s">
        <v>39</v>
      </c>
      <c r="N89" s="6">
        <v>46221</v>
      </c>
      <c r="O89" s="1">
        <v>500</v>
      </c>
      <c r="P89" s="4">
        <v>0</v>
      </c>
      <c r="Q89" s="4">
        <v>0</v>
      </c>
      <c r="R89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89" s="9">
        <f>IF(OR(Dashboard_Query[[#This Row],[Monthly Allowance]]="",Dashboard_Query[[#This Row],[Current Usage]]=""),"",Dashboard_Query[[#This Row],[Current Usage]]/Dashboard_Query[[#This Row],[Monthly Allowance]])</f>
        <v>0</v>
      </c>
      <c r="T89" s="9">
        <f>IF(Dashboard_Query[[#This Row],[% Used]]="","",1-Dashboard_Query[[#This Row],[% Used]])</f>
        <v>1</v>
      </c>
      <c r="U89" s="4">
        <f>IF(OR(Dashboard_Query[[#This Row],[Monthly Allowance]]="",Dashboard_Query[[#This Row],[Current Usage]]=""),"",MAX(0,Dashboard_Query[[#This Row],[Current Usage]]-Dashboard_Query[[#This Row],[Monthly Allowance]]))</f>
        <v>0</v>
      </c>
      <c r="V89" s="4" t="str">
        <f>IF(Dashboard_Query[[#This Row],[Monthly Allowance]]="","",IF(Dashboard_Query[[#This Row],[Overage]]&gt;0,"OVER",IF(Dashboard_Query[[#This Row],[% Used]]&gt;=0.8,"WARNING","OK")))</f>
        <v>OK</v>
      </c>
      <c r="W89" s="1"/>
      <c r="X89" s="1"/>
    </row>
    <row r="90" spans="1:24">
      <c r="A90" s="4" t="s">
        <v>149</v>
      </c>
      <c r="B90" s="4">
        <v>814450</v>
      </c>
      <c r="C90" s="4" t="s">
        <v>123</v>
      </c>
      <c r="D90" s="4" t="s">
        <v>124</v>
      </c>
      <c r="E90" s="4" t="s">
        <v>125</v>
      </c>
      <c r="F90" s="4">
        <v>211121067</v>
      </c>
      <c r="G90" s="6">
        <v>46219</v>
      </c>
      <c r="H90" s="6">
        <v>46219</v>
      </c>
      <c r="I90" s="32">
        <v>46250</v>
      </c>
      <c r="J90" s="1">
        <v>27</v>
      </c>
      <c r="K90" s="4">
        <v>500</v>
      </c>
      <c r="M90" s="4" t="s">
        <v>39</v>
      </c>
      <c r="N90" s="6">
        <v>46219</v>
      </c>
      <c r="O90" s="1">
        <v>50</v>
      </c>
      <c r="P90" s="4">
        <v>5.66</v>
      </c>
      <c r="Q90" s="4">
        <v>5.57</v>
      </c>
      <c r="R90" s="4">
        <f>IF(
    OR(Dashboard_Query[[#This Row],[Monthly Allowance]]="",Dashboard_Query[[#This Row],[Current Usage]]=""),
    "",
    MAX(0,Dashboard_Query[[#This Row],[Monthly Allowance]]-Dashboard_Query[[#This Row],[Current Usage]])
)</f>
        <v>494.43</v>
      </c>
      <c r="S90" s="9">
        <f>IF(OR(Dashboard_Query[[#This Row],[Monthly Allowance]]="",Dashboard_Query[[#This Row],[Current Usage]]=""),"",Dashboard_Query[[#This Row],[Current Usage]]/Dashboard_Query[[#This Row],[Monthly Allowance]])</f>
        <v>1.1140000000000001E-2</v>
      </c>
      <c r="T90" s="9">
        <f>IF(Dashboard_Query[[#This Row],[% Used]]="","",1-Dashboard_Query[[#This Row],[% Used]])</f>
        <v>0.98885999999999996</v>
      </c>
      <c r="U90" s="4">
        <f>IF(OR(Dashboard_Query[[#This Row],[Monthly Allowance]]="",Dashboard_Query[[#This Row],[Current Usage]]=""),"",MAX(0,Dashboard_Query[[#This Row],[Current Usage]]-Dashboard_Query[[#This Row],[Monthly Allowance]]))</f>
        <v>0</v>
      </c>
      <c r="V90" s="4" t="str">
        <f>IF(Dashboard_Query[[#This Row],[Monthly Allowance]]="","",IF(Dashboard_Query[[#This Row],[Overage]]&gt;0,"OVER",IF(Dashboard_Query[[#This Row],[% Used]]&gt;=0.8,"WARNING","OK")))</f>
        <v>OK</v>
      </c>
      <c r="W90" s="1"/>
      <c r="X90" s="1"/>
    </row>
    <row r="91" spans="1:24">
      <c r="A91" s="4" t="s">
        <v>150</v>
      </c>
      <c r="B91" s="4">
        <v>812834</v>
      </c>
      <c r="C91" s="4" t="s">
        <v>47</v>
      </c>
      <c r="D91" s="4" t="s">
        <v>48</v>
      </c>
      <c r="E91" s="4" t="s">
        <v>49</v>
      </c>
      <c r="F91" s="4">
        <v>211120714</v>
      </c>
      <c r="G91" s="6">
        <v>46204</v>
      </c>
      <c r="H91" s="6">
        <v>46204</v>
      </c>
      <c r="I91" s="32">
        <v>46235</v>
      </c>
      <c r="J91" s="1">
        <v>12</v>
      </c>
      <c r="K91" s="4">
        <v>500</v>
      </c>
      <c r="M91" s="4" t="s">
        <v>39</v>
      </c>
      <c r="N91" s="6">
        <v>46204</v>
      </c>
      <c r="O91" s="1">
        <v>50</v>
      </c>
      <c r="P91" s="4">
        <v>84.6</v>
      </c>
      <c r="Q91" s="4">
        <v>84.6</v>
      </c>
      <c r="R91" s="4">
        <f>IF(
    OR(Dashboard_Query[[#This Row],[Monthly Allowance]]="",Dashboard_Query[[#This Row],[Current Usage]]=""),
    "",
    MAX(0,Dashboard_Query[[#This Row],[Monthly Allowance]]-Dashboard_Query[[#This Row],[Current Usage]])
)</f>
        <v>415.4</v>
      </c>
      <c r="S91" s="9">
        <f>IF(OR(Dashboard_Query[[#This Row],[Monthly Allowance]]="",Dashboard_Query[[#This Row],[Current Usage]]=""),"",Dashboard_Query[[#This Row],[Current Usage]]/Dashboard_Query[[#This Row],[Monthly Allowance]])</f>
        <v>0.16919999999999999</v>
      </c>
      <c r="T91" s="9">
        <f>IF(Dashboard_Query[[#This Row],[% Used]]="","",1-Dashboard_Query[[#This Row],[% Used]])</f>
        <v>0.83079999999999998</v>
      </c>
      <c r="U91" s="4">
        <f>IF(OR(Dashboard_Query[[#This Row],[Monthly Allowance]]="",Dashboard_Query[[#This Row],[Current Usage]]=""),"",MAX(0,Dashboard_Query[[#This Row],[Current Usage]]-Dashboard_Query[[#This Row],[Monthly Allowance]]))</f>
        <v>0</v>
      </c>
      <c r="V91" s="4" t="str">
        <f>IF(Dashboard_Query[[#This Row],[Monthly Allowance]]="","",IF(Dashboard_Query[[#This Row],[Overage]]&gt;0,"OVER",IF(Dashboard_Query[[#This Row],[% Used]]&gt;=0.8,"WARNING","OK")))</f>
        <v>OK</v>
      </c>
      <c r="W91" s="1"/>
      <c r="X91" s="1"/>
    </row>
    <row r="92" spans="1:24">
      <c r="A92" s="4" t="s">
        <v>151</v>
      </c>
      <c r="B92" s="4">
        <v>814477</v>
      </c>
      <c r="C92" s="4" t="s">
        <v>123</v>
      </c>
      <c r="D92" s="4" t="s">
        <v>124</v>
      </c>
      <c r="E92" s="4" t="s">
        <v>125</v>
      </c>
      <c r="F92" s="4">
        <v>211121067</v>
      </c>
      <c r="G92" s="6">
        <v>46219</v>
      </c>
      <c r="H92" s="6">
        <v>46219</v>
      </c>
      <c r="I92" s="32">
        <v>46250</v>
      </c>
      <c r="J92" s="1">
        <v>27</v>
      </c>
      <c r="K92" s="4">
        <v>500</v>
      </c>
      <c r="M92" s="4" t="s">
        <v>39</v>
      </c>
      <c r="N92" s="6">
        <v>46219</v>
      </c>
      <c r="O92" s="1">
        <v>50</v>
      </c>
      <c r="P92" s="4">
        <v>0.09</v>
      </c>
      <c r="Q92" s="4">
        <v>0</v>
      </c>
      <c r="R92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92" s="9">
        <f>IF(OR(Dashboard_Query[[#This Row],[Monthly Allowance]]="",Dashboard_Query[[#This Row],[Current Usage]]=""),"",Dashboard_Query[[#This Row],[Current Usage]]/Dashboard_Query[[#This Row],[Monthly Allowance]])</f>
        <v>0</v>
      </c>
      <c r="T92" s="9">
        <f>IF(Dashboard_Query[[#This Row],[% Used]]="","",1-Dashboard_Query[[#This Row],[% Used]])</f>
        <v>1</v>
      </c>
      <c r="U92" s="4">
        <f>IF(OR(Dashboard_Query[[#This Row],[Monthly Allowance]]="",Dashboard_Query[[#This Row],[Current Usage]]=""),"",MAX(0,Dashboard_Query[[#This Row],[Current Usage]]-Dashboard_Query[[#This Row],[Monthly Allowance]]))</f>
        <v>0</v>
      </c>
      <c r="V92" s="4" t="str">
        <f>IF(Dashboard_Query[[#This Row],[Monthly Allowance]]="","",IF(Dashboard_Query[[#This Row],[Overage]]&gt;0,"OVER",IF(Dashboard_Query[[#This Row],[% Used]]&gt;=0.8,"WARNING","OK")))</f>
        <v>OK</v>
      </c>
      <c r="W92" s="1"/>
      <c r="X92" s="1"/>
    </row>
    <row r="93" spans="1:24">
      <c r="A93" s="4" t="s">
        <v>152</v>
      </c>
      <c r="B93" s="4">
        <v>809660</v>
      </c>
      <c r="C93" s="4" t="s">
        <v>146</v>
      </c>
      <c r="D93" s="4" t="s">
        <v>147</v>
      </c>
      <c r="E93" s="4" t="s">
        <v>148</v>
      </c>
      <c r="F93" s="4">
        <v>211121149</v>
      </c>
      <c r="G93" s="6">
        <v>46221</v>
      </c>
      <c r="H93" s="6">
        <v>46221</v>
      </c>
      <c r="I93" s="32">
        <v>46252</v>
      </c>
      <c r="J93" s="1">
        <v>29</v>
      </c>
      <c r="K93" s="4">
        <v>500</v>
      </c>
      <c r="M93" s="4" t="s">
        <v>39</v>
      </c>
      <c r="N93" s="6">
        <v>46221</v>
      </c>
      <c r="O93" s="1">
        <v>500</v>
      </c>
      <c r="P93" s="4">
        <v>0.13</v>
      </c>
      <c r="Q93" s="4">
        <v>0.13</v>
      </c>
      <c r="R93" s="4">
        <f>IF(
    OR(Dashboard_Query[[#This Row],[Monthly Allowance]]="",Dashboard_Query[[#This Row],[Current Usage]]=""),
    "",
    MAX(0,Dashboard_Query[[#This Row],[Monthly Allowance]]-Dashboard_Query[[#This Row],[Current Usage]])
)</f>
        <v>499.87</v>
      </c>
      <c r="S93" s="9">
        <f>IF(OR(Dashboard_Query[[#This Row],[Monthly Allowance]]="",Dashboard_Query[[#This Row],[Current Usage]]=""),"",Dashboard_Query[[#This Row],[Current Usage]]/Dashboard_Query[[#This Row],[Monthly Allowance]])</f>
        <v>2.6000000000000003E-4</v>
      </c>
      <c r="T93" s="9">
        <f>IF(Dashboard_Query[[#This Row],[% Used]]="","",1-Dashboard_Query[[#This Row],[% Used]])</f>
        <v>0.99973999999999996</v>
      </c>
      <c r="U93" s="4">
        <f>IF(OR(Dashboard_Query[[#This Row],[Monthly Allowance]]="",Dashboard_Query[[#This Row],[Current Usage]]=""),"",MAX(0,Dashboard_Query[[#This Row],[Current Usage]]-Dashboard_Query[[#This Row],[Monthly Allowance]]))</f>
        <v>0</v>
      </c>
      <c r="V93" s="4" t="str">
        <f>IF(Dashboard_Query[[#This Row],[Monthly Allowance]]="","",IF(Dashboard_Query[[#This Row],[Overage]]&gt;0,"OVER",IF(Dashboard_Query[[#This Row],[% Used]]&gt;=0.8,"WARNING","OK")))</f>
        <v>OK</v>
      </c>
      <c r="W93" s="1"/>
      <c r="X93" s="1"/>
    </row>
    <row r="94" spans="1:24">
      <c r="A94" s="4" t="s">
        <v>153</v>
      </c>
      <c r="B94" s="4">
        <v>810650</v>
      </c>
      <c r="C94" s="4" t="s">
        <v>123</v>
      </c>
      <c r="D94" s="4" t="s">
        <v>124</v>
      </c>
      <c r="E94" s="4" t="s">
        <v>125</v>
      </c>
      <c r="F94" s="4">
        <v>211121067</v>
      </c>
      <c r="G94" s="6">
        <v>46219</v>
      </c>
      <c r="H94" s="6">
        <v>46219</v>
      </c>
      <c r="I94" s="32">
        <v>46250</v>
      </c>
      <c r="J94" s="1">
        <v>27</v>
      </c>
      <c r="K94" s="4">
        <v>500</v>
      </c>
      <c r="M94" s="4" t="s">
        <v>39</v>
      </c>
      <c r="N94" s="6">
        <v>46219</v>
      </c>
      <c r="O94" s="1">
        <v>50</v>
      </c>
      <c r="P94" s="4">
        <v>0</v>
      </c>
      <c r="Q94" s="4">
        <v>0</v>
      </c>
      <c r="R94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94" s="9">
        <f>IF(OR(Dashboard_Query[[#This Row],[Monthly Allowance]]="",Dashboard_Query[[#This Row],[Current Usage]]=""),"",Dashboard_Query[[#This Row],[Current Usage]]/Dashboard_Query[[#This Row],[Monthly Allowance]])</f>
        <v>0</v>
      </c>
      <c r="T94" s="9">
        <f>IF(Dashboard_Query[[#This Row],[% Used]]="","",1-Dashboard_Query[[#This Row],[% Used]])</f>
        <v>1</v>
      </c>
      <c r="U94" s="4">
        <f>IF(OR(Dashboard_Query[[#This Row],[Monthly Allowance]]="",Dashboard_Query[[#This Row],[Current Usage]]=""),"",MAX(0,Dashboard_Query[[#This Row],[Current Usage]]-Dashboard_Query[[#This Row],[Monthly Allowance]]))</f>
        <v>0</v>
      </c>
      <c r="V94" s="4" t="str">
        <f>IF(Dashboard_Query[[#This Row],[Monthly Allowance]]="","",IF(Dashboard_Query[[#This Row],[Overage]]&gt;0,"OVER",IF(Dashboard_Query[[#This Row],[% Used]]&gt;=0.8,"WARNING","OK")))</f>
        <v>OK</v>
      </c>
      <c r="W94" s="1"/>
      <c r="X94" s="1"/>
    </row>
    <row r="95" spans="1:24">
      <c r="A95" s="4" t="s">
        <v>154</v>
      </c>
      <c r="B95" s="4">
        <v>812839</v>
      </c>
      <c r="C95" s="4" t="s">
        <v>41</v>
      </c>
      <c r="D95" s="4" t="s">
        <v>42</v>
      </c>
      <c r="E95" s="4" t="s">
        <v>43</v>
      </c>
      <c r="F95" s="4">
        <v>211120662</v>
      </c>
      <c r="G95" s="6">
        <v>46203</v>
      </c>
      <c r="H95" s="6">
        <v>46203</v>
      </c>
      <c r="I95" s="32">
        <v>46233</v>
      </c>
      <c r="J95" s="1">
        <v>10</v>
      </c>
      <c r="K95" s="4">
        <v>500</v>
      </c>
      <c r="M95" s="4" t="s">
        <v>39</v>
      </c>
      <c r="N95" s="6">
        <v>46203</v>
      </c>
      <c r="O95" s="1">
        <v>500</v>
      </c>
      <c r="P95" s="4">
        <v>77.69</v>
      </c>
      <c r="Q95" s="4">
        <v>77.69</v>
      </c>
      <c r="R95" s="4">
        <f>IF(
    OR(Dashboard_Query[[#This Row],[Monthly Allowance]]="",Dashboard_Query[[#This Row],[Current Usage]]=""),
    "",
    MAX(0,Dashboard_Query[[#This Row],[Monthly Allowance]]-Dashboard_Query[[#This Row],[Current Usage]])
)</f>
        <v>422.31</v>
      </c>
      <c r="S95" s="9">
        <f>IF(OR(Dashboard_Query[[#This Row],[Monthly Allowance]]="",Dashboard_Query[[#This Row],[Current Usage]]=""),"",Dashboard_Query[[#This Row],[Current Usage]]/Dashboard_Query[[#This Row],[Monthly Allowance]])</f>
        <v>0.15537999999999999</v>
      </c>
      <c r="T95" s="9">
        <f>IF(Dashboard_Query[[#This Row],[% Used]]="","",1-Dashboard_Query[[#This Row],[% Used]])</f>
        <v>0.84462000000000004</v>
      </c>
      <c r="U95" s="4">
        <f>IF(OR(Dashboard_Query[[#This Row],[Monthly Allowance]]="",Dashboard_Query[[#This Row],[Current Usage]]=""),"",MAX(0,Dashboard_Query[[#This Row],[Current Usage]]-Dashboard_Query[[#This Row],[Monthly Allowance]]))</f>
        <v>0</v>
      </c>
      <c r="V95" s="4" t="str">
        <f>IF(Dashboard_Query[[#This Row],[Monthly Allowance]]="","",IF(Dashboard_Query[[#This Row],[Overage]]&gt;0,"OVER",IF(Dashboard_Query[[#This Row],[% Used]]&gt;=0.8,"WARNING","OK")))</f>
        <v>OK</v>
      </c>
      <c r="W95" s="1"/>
      <c r="X95" s="1"/>
    </row>
    <row r="96" spans="1:24">
      <c r="A96" s="4" t="s">
        <v>155</v>
      </c>
      <c r="B96" s="4">
        <v>809865</v>
      </c>
      <c r="C96" s="4" t="s">
        <v>123</v>
      </c>
      <c r="D96" s="4" t="s">
        <v>124</v>
      </c>
      <c r="E96" s="4" t="s">
        <v>125</v>
      </c>
      <c r="F96" s="4">
        <v>211121067</v>
      </c>
      <c r="G96" s="6">
        <v>46219</v>
      </c>
      <c r="H96" s="6">
        <v>46219</v>
      </c>
      <c r="I96" s="32">
        <v>46250</v>
      </c>
      <c r="J96" s="1">
        <v>27</v>
      </c>
      <c r="K96" s="4">
        <v>500</v>
      </c>
      <c r="M96" s="4" t="s">
        <v>39</v>
      </c>
      <c r="N96" s="6">
        <v>46219</v>
      </c>
      <c r="O96" s="1">
        <v>50</v>
      </c>
      <c r="P96" s="4">
        <v>12.24</v>
      </c>
      <c r="Q96" s="4">
        <v>12.24</v>
      </c>
      <c r="R96" s="4">
        <f>IF(
    OR(Dashboard_Query[[#This Row],[Monthly Allowance]]="",Dashboard_Query[[#This Row],[Current Usage]]=""),
    "",
    MAX(0,Dashboard_Query[[#This Row],[Monthly Allowance]]-Dashboard_Query[[#This Row],[Current Usage]])
)</f>
        <v>487.76</v>
      </c>
      <c r="S96" s="9">
        <f>IF(OR(Dashboard_Query[[#This Row],[Monthly Allowance]]="",Dashboard_Query[[#This Row],[Current Usage]]=""),"",Dashboard_Query[[#This Row],[Current Usage]]/Dashboard_Query[[#This Row],[Monthly Allowance]])</f>
        <v>2.4480000000000002E-2</v>
      </c>
      <c r="T96" s="9">
        <f>IF(Dashboard_Query[[#This Row],[% Used]]="","",1-Dashboard_Query[[#This Row],[% Used]])</f>
        <v>0.97551999999999994</v>
      </c>
      <c r="U96" s="4">
        <f>IF(OR(Dashboard_Query[[#This Row],[Monthly Allowance]]="",Dashboard_Query[[#This Row],[Current Usage]]=""),"",MAX(0,Dashboard_Query[[#This Row],[Current Usage]]-Dashboard_Query[[#This Row],[Monthly Allowance]]))</f>
        <v>0</v>
      </c>
      <c r="V96" s="4" t="str">
        <f>IF(Dashboard_Query[[#This Row],[Monthly Allowance]]="","",IF(Dashboard_Query[[#This Row],[Overage]]&gt;0,"OVER",IF(Dashboard_Query[[#This Row],[% Used]]&gt;=0.8,"WARNING","OK")))</f>
        <v>OK</v>
      </c>
      <c r="W96" s="1"/>
      <c r="X96" s="1"/>
    </row>
    <row r="97" spans="1:24">
      <c r="A97" s="4" t="s">
        <v>156</v>
      </c>
      <c r="B97" s="4">
        <v>809661</v>
      </c>
      <c r="C97" s="4" t="s">
        <v>146</v>
      </c>
      <c r="D97" s="4" t="s">
        <v>147</v>
      </c>
      <c r="E97" s="4" t="s">
        <v>148</v>
      </c>
      <c r="F97" s="4">
        <v>211121149</v>
      </c>
      <c r="G97" s="6">
        <v>46221</v>
      </c>
      <c r="H97" s="6">
        <v>46221</v>
      </c>
      <c r="I97" s="32">
        <v>46252</v>
      </c>
      <c r="J97" s="1">
        <v>29</v>
      </c>
      <c r="K97" s="4">
        <v>500</v>
      </c>
      <c r="M97" s="4" t="s">
        <v>39</v>
      </c>
      <c r="N97" s="6">
        <v>46221</v>
      </c>
      <c r="O97" s="1">
        <v>500</v>
      </c>
      <c r="P97" s="4">
        <v>0</v>
      </c>
      <c r="Q97" s="4">
        <v>0</v>
      </c>
      <c r="R97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97" s="9">
        <f>IF(OR(Dashboard_Query[[#This Row],[Monthly Allowance]]="",Dashboard_Query[[#This Row],[Current Usage]]=""),"",Dashboard_Query[[#This Row],[Current Usage]]/Dashboard_Query[[#This Row],[Monthly Allowance]])</f>
        <v>0</v>
      </c>
      <c r="T97" s="9">
        <f>IF(Dashboard_Query[[#This Row],[% Used]]="","",1-Dashboard_Query[[#This Row],[% Used]])</f>
        <v>1</v>
      </c>
      <c r="U97" s="4">
        <f>IF(OR(Dashboard_Query[[#This Row],[Monthly Allowance]]="",Dashboard_Query[[#This Row],[Current Usage]]=""),"",MAX(0,Dashboard_Query[[#This Row],[Current Usage]]-Dashboard_Query[[#This Row],[Monthly Allowance]]))</f>
        <v>0</v>
      </c>
      <c r="V97" s="4" t="str">
        <f>IF(Dashboard_Query[[#This Row],[Monthly Allowance]]="","",IF(Dashboard_Query[[#This Row],[Overage]]&gt;0,"OVER",IF(Dashboard_Query[[#This Row],[% Used]]&gt;=0.8,"WARNING","OK")))</f>
        <v>OK</v>
      </c>
      <c r="W97" s="1"/>
      <c r="X97" s="1"/>
    </row>
    <row r="98" spans="1:24">
      <c r="A98" s="4" t="s">
        <v>157</v>
      </c>
      <c r="B98" s="4">
        <v>809861</v>
      </c>
      <c r="C98" s="4" t="s">
        <v>123</v>
      </c>
      <c r="D98" s="4" t="s">
        <v>124</v>
      </c>
      <c r="E98" s="4" t="s">
        <v>125</v>
      </c>
      <c r="F98" s="4">
        <v>211121067</v>
      </c>
      <c r="G98" s="6">
        <v>46219</v>
      </c>
      <c r="H98" s="6">
        <v>46219</v>
      </c>
      <c r="I98" s="32">
        <v>46250</v>
      </c>
      <c r="J98" s="1">
        <v>27</v>
      </c>
      <c r="K98" s="4">
        <v>500</v>
      </c>
      <c r="M98" s="4" t="s">
        <v>39</v>
      </c>
      <c r="N98" s="6">
        <v>46219</v>
      </c>
      <c r="O98" s="1">
        <v>50</v>
      </c>
      <c r="P98" s="4">
        <v>0</v>
      </c>
      <c r="Q98" s="4">
        <v>0</v>
      </c>
      <c r="R98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98" s="9">
        <f>IF(OR(Dashboard_Query[[#This Row],[Monthly Allowance]]="",Dashboard_Query[[#This Row],[Current Usage]]=""),"",Dashboard_Query[[#This Row],[Current Usage]]/Dashboard_Query[[#This Row],[Monthly Allowance]])</f>
        <v>0</v>
      </c>
      <c r="T98" s="9">
        <f>IF(Dashboard_Query[[#This Row],[% Used]]="","",1-Dashboard_Query[[#This Row],[% Used]])</f>
        <v>1</v>
      </c>
      <c r="U98" s="4">
        <f>IF(OR(Dashboard_Query[[#This Row],[Monthly Allowance]]="",Dashboard_Query[[#This Row],[Current Usage]]=""),"",MAX(0,Dashboard_Query[[#This Row],[Current Usage]]-Dashboard_Query[[#This Row],[Monthly Allowance]]))</f>
        <v>0</v>
      </c>
      <c r="V98" s="4" t="str">
        <f>IF(Dashboard_Query[[#This Row],[Monthly Allowance]]="","",IF(Dashboard_Query[[#This Row],[Overage]]&gt;0,"OVER",IF(Dashboard_Query[[#This Row],[% Used]]&gt;=0.8,"WARNING","OK")))</f>
        <v>OK</v>
      </c>
      <c r="W98" s="1"/>
      <c r="X98" s="1"/>
    </row>
    <row r="99" spans="1:24">
      <c r="A99" s="4" t="s">
        <v>158</v>
      </c>
      <c r="B99" s="4">
        <v>812821</v>
      </c>
      <c r="C99" s="4" t="s">
        <v>41</v>
      </c>
      <c r="D99" s="4" t="s">
        <v>42</v>
      </c>
      <c r="E99" s="4" t="s">
        <v>43</v>
      </c>
      <c r="F99" s="4">
        <v>211120721</v>
      </c>
      <c r="G99" s="6">
        <v>46204</v>
      </c>
      <c r="H99" s="6">
        <v>46204</v>
      </c>
      <c r="I99" s="32">
        <v>46235</v>
      </c>
      <c r="J99" s="1">
        <v>12</v>
      </c>
      <c r="K99" s="4">
        <v>500</v>
      </c>
      <c r="M99" s="4" t="s">
        <v>39</v>
      </c>
      <c r="N99" s="6">
        <v>46204</v>
      </c>
      <c r="O99" s="1">
        <v>50</v>
      </c>
      <c r="P99" s="4">
        <v>71.27</v>
      </c>
      <c r="Q99" s="4">
        <v>71.27</v>
      </c>
      <c r="R99" s="4">
        <f>IF(
    OR(Dashboard_Query[[#This Row],[Monthly Allowance]]="",Dashboard_Query[[#This Row],[Current Usage]]=""),
    "",
    MAX(0,Dashboard_Query[[#This Row],[Monthly Allowance]]-Dashboard_Query[[#This Row],[Current Usage]])
)</f>
        <v>428.73</v>
      </c>
      <c r="S99" s="9">
        <f>IF(OR(Dashboard_Query[[#This Row],[Monthly Allowance]]="",Dashboard_Query[[#This Row],[Current Usage]]=""),"",Dashboard_Query[[#This Row],[Current Usage]]/Dashboard_Query[[#This Row],[Monthly Allowance]])</f>
        <v>0.14254</v>
      </c>
      <c r="T99" s="9">
        <f>IF(Dashboard_Query[[#This Row],[% Used]]="","",1-Dashboard_Query[[#This Row],[% Used]])</f>
        <v>0.85746</v>
      </c>
      <c r="U99" s="4">
        <f>IF(OR(Dashboard_Query[[#This Row],[Monthly Allowance]]="",Dashboard_Query[[#This Row],[Current Usage]]=""),"",MAX(0,Dashboard_Query[[#This Row],[Current Usage]]-Dashboard_Query[[#This Row],[Monthly Allowance]]))</f>
        <v>0</v>
      </c>
      <c r="V99" s="4" t="str">
        <f>IF(Dashboard_Query[[#This Row],[Monthly Allowance]]="","",IF(Dashboard_Query[[#This Row],[Overage]]&gt;0,"OVER",IF(Dashboard_Query[[#This Row],[% Used]]&gt;=0.8,"WARNING","OK")))</f>
        <v>OK</v>
      </c>
      <c r="W99" s="1"/>
      <c r="X99" s="1"/>
    </row>
    <row r="100" spans="1:24">
      <c r="A100" s="4" t="s">
        <v>159</v>
      </c>
      <c r="B100" s="4">
        <v>809867</v>
      </c>
      <c r="C100" s="4" t="s">
        <v>123</v>
      </c>
      <c r="D100" s="4" t="s">
        <v>124</v>
      </c>
      <c r="E100" s="4" t="s">
        <v>125</v>
      </c>
      <c r="F100" s="4">
        <v>211121067</v>
      </c>
      <c r="G100" s="6">
        <v>46219</v>
      </c>
      <c r="H100" s="6">
        <v>46219</v>
      </c>
      <c r="I100" s="32">
        <v>46250</v>
      </c>
      <c r="J100" s="1">
        <v>27</v>
      </c>
      <c r="K100" s="4">
        <v>500</v>
      </c>
      <c r="M100" s="4" t="s">
        <v>39</v>
      </c>
      <c r="N100" s="6">
        <v>46219</v>
      </c>
      <c r="O100" s="1">
        <v>50</v>
      </c>
      <c r="P100" s="4">
        <v>0</v>
      </c>
      <c r="Q100" s="4">
        <v>0</v>
      </c>
      <c r="R100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100" s="9">
        <f>IF(OR(Dashboard_Query[[#This Row],[Monthly Allowance]]="",Dashboard_Query[[#This Row],[Current Usage]]=""),"",Dashboard_Query[[#This Row],[Current Usage]]/Dashboard_Query[[#This Row],[Monthly Allowance]])</f>
        <v>0</v>
      </c>
      <c r="T100" s="9">
        <f>IF(Dashboard_Query[[#This Row],[% Used]]="","",1-Dashboard_Query[[#This Row],[% Used]])</f>
        <v>1</v>
      </c>
      <c r="U100" s="4">
        <f>IF(OR(Dashboard_Query[[#This Row],[Monthly Allowance]]="",Dashboard_Query[[#This Row],[Current Usage]]=""),"",MAX(0,Dashboard_Query[[#This Row],[Current Usage]]-Dashboard_Query[[#This Row],[Monthly Allowance]]))</f>
        <v>0</v>
      </c>
      <c r="V100" s="4" t="str">
        <f>IF(Dashboard_Query[[#This Row],[Monthly Allowance]]="","",IF(Dashboard_Query[[#This Row],[Overage]]&gt;0,"OVER",IF(Dashboard_Query[[#This Row],[% Used]]&gt;=0.8,"WARNING","OK")))</f>
        <v>OK</v>
      </c>
      <c r="W100" s="1"/>
      <c r="X100" s="1"/>
    </row>
    <row r="101" spans="1:24">
      <c r="A101" s="4" t="s">
        <v>160</v>
      </c>
      <c r="B101" s="4">
        <v>809662</v>
      </c>
      <c r="C101" s="4" t="s">
        <v>54</v>
      </c>
      <c r="D101" s="4" t="s">
        <v>55</v>
      </c>
      <c r="E101" s="4" t="s">
        <v>56</v>
      </c>
      <c r="F101" s="4">
        <v>211120934</v>
      </c>
      <c r="G101" s="6">
        <v>46214</v>
      </c>
      <c r="H101" s="6">
        <v>46214</v>
      </c>
      <c r="I101" s="32">
        <v>46245</v>
      </c>
      <c r="J101" s="1">
        <v>22</v>
      </c>
      <c r="K101" s="4">
        <v>500</v>
      </c>
      <c r="M101" s="4" t="s">
        <v>39</v>
      </c>
      <c r="N101" s="6">
        <v>46214</v>
      </c>
      <c r="O101" s="1">
        <v>500</v>
      </c>
      <c r="P101" s="4">
        <v>39.450000000000003</v>
      </c>
      <c r="Q101" s="4">
        <v>39.450000000000003</v>
      </c>
      <c r="R101" s="4">
        <f>IF(
    OR(Dashboard_Query[[#This Row],[Monthly Allowance]]="",Dashboard_Query[[#This Row],[Current Usage]]=""),
    "",
    MAX(0,Dashboard_Query[[#This Row],[Monthly Allowance]]-Dashboard_Query[[#This Row],[Current Usage]])
)</f>
        <v>460.55</v>
      </c>
      <c r="S101" s="9">
        <f>IF(OR(Dashboard_Query[[#This Row],[Monthly Allowance]]="",Dashboard_Query[[#This Row],[Current Usage]]=""),"",Dashboard_Query[[#This Row],[Current Usage]]/Dashboard_Query[[#This Row],[Monthly Allowance]])</f>
        <v>7.8900000000000012E-2</v>
      </c>
      <c r="T101" s="9">
        <f>IF(Dashboard_Query[[#This Row],[% Used]]="","",1-Dashboard_Query[[#This Row],[% Used]])</f>
        <v>0.92110000000000003</v>
      </c>
      <c r="U101" s="4">
        <f>IF(OR(Dashboard_Query[[#This Row],[Monthly Allowance]]="",Dashboard_Query[[#This Row],[Current Usage]]=""),"",MAX(0,Dashboard_Query[[#This Row],[Current Usage]]-Dashboard_Query[[#This Row],[Monthly Allowance]]))</f>
        <v>0</v>
      </c>
      <c r="V101" s="4" t="str">
        <f>IF(Dashboard_Query[[#This Row],[Monthly Allowance]]="","",IF(Dashboard_Query[[#This Row],[Overage]]&gt;0,"OVER",IF(Dashboard_Query[[#This Row],[% Used]]&gt;=0.8,"WARNING","OK")))</f>
        <v>OK</v>
      </c>
      <c r="W101" s="1"/>
      <c r="X101" s="1"/>
    </row>
    <row r="102" spans="1:24">
      <c r="A102" s="4" t="s">
        <v>161</v>
      </c>
      <c r="B102" s="4">
        <v>810097</v>
      </c>
      <c r="C102" s="4" t="s">
        <v>123</v>
      </c>
      <c r="D102" s="4" t="s">
        <v>124</v>
      </c>
      <c r="E102" s="4" t="s">
        <v>125</v>
      </c>
      <c r="F102" s="4">
        <v>211121067</v>
      </c>
      <c r="G102" s="6">
        <v>46219</v>
      </c>
      <c r="H102" s="6">
        <v>46219</v>
      </c>
      <c r="I102" s="32">
        <v>46250</v>
      </c>
      <c r="J102" s="1">
        <v>27</v>
      </c>
      <c r="K102" s="4">
        <v>500</v>
      </c>
      <c r="M102" s="4" t="s">
        <v>39</v>
      </c>
      <c r="N102" s="6">
        <v>46219</v>
      </c>
      <c r="O102" s="1">
        <v>50</v>
      </c>
      <c r="P102" s="4">
        <v>2.37</v>
      </c>
      <c r="Q102" s="4">
        <v>2.37</v>
      </c>
      <c r="R102" s="4">
        <f>IF(
    OR(Dashboard_Query[[#This Row],[Monthly Allowance]]="",Dashboard_Query[[#This Row],[Current Usage]]=""),
    "",
    MAX(0,Dashboard_Query[[#This Row],[Monthly Allowance]]-Dashboard_Query[[#This Row],[Current Usage]])
)</f>
        <v>497.63</v>
      </c>
      <c r="S102" s="9">
        <f>IF(OR(Dashboard_Query[[#This Row],[Monthly Allowance]]="",Dashboard_Query[[#This Row],[Current Usage]]=""),"",Dashboard_Query[[#This Row],[Current Usage]]/Dashboard_Query[[#This Row],[Monthly Allowance]])</f>
        <v>4.7400000000000003E-3</v>
      </c>
      <c r="T102" s="9">
        <f>IF(Dashboard_Query[[#This Row],[% Used]]="","",1-Dashboard_Query[[#This Row],[% Used]])</f>
        <v>0.99526000000000003</v>
      </c>
      <c r="U102" s="4">
        <f>IF(OR(Dashboard_Query[[#This Row],[Monthly Allowance]]="",Dashboard_Query[[#This Row],[Current Usage]]=""),"",MAX(0,Dashboard_Query[[#This Row],[Current Usage]]-Dashboard_Query[[#This Row],[Monthly Allowance]]))</f>
        <v>0</v>
      </c>
      <c r="V102" s="4" t="str">
        <f>IF(Dashboard_Query[[#This Row],[Monthly Allowance]]="","",IF(Dashboard_Query[[#This Row],[Overage]]&gt;0,"OVER",IF(Dashboard_Query[[#This Row],[% Used]]&gt;=0.8,"WARNING","OK")))</f>
        <v>OK</v>
      </c>
      <c r="W102" s="1"/>
      <c r="X102" s="1"/>
    </row>
    <row r="103" spans="1:24">
      <c r="A103" s="4" t="s">
        <v>162</v>
      </c>
      <c r="B103" s="4">
        <v>812849</v>
      </c>
      <c r="C103" s="4" t="s">
        <v>41</v>
      </c>
      <c r="D103" s="4" t="s">
        <v>42</v>
      </c>
      <c r="E103" s="4" t="s">
        <v>43</v>
      </c>
      <c r="F103" s="4">
        <v>211120721</v>
      </c>
      <c r="G103" s="6">
        <v>46204</v>
      </c>
      <c r="H103" s="6">
        <v>46204</v>
      </c>
      <c r="I103" s="32">
        <v>46235</v>
      </c>
      <c r="J103" s="1">
        <v>12</v>
      </c>
      <c r="K103" s="4">
        <v>500</v>
      </c>
      <c r="M103" s="4" t="s">
        <v>39</v>
      </c>
      <c r="N103" s="6">
        <v>46204</v>
      </c>
      <c r="O103" s="1">
        <v>50</v>
      </c>
      <c r="P103" s="4">
        <v>70.209999999999994</v>
      </c>
      <c r="Q103" s="4">
        <v>70.209999999999994</v>
      </c>
      <c r="R103" s="4">
        <f>IF(
    OR(Dashboard_Query[[#This Row],[Monthly Allowance]]="",Dashboard_Query[[#This Row],[Current Usage]]=""),
    "",
    MAX(0,Dashboard_Query[[#This Row],[Monthly Allowance]]-Dashboard_Query[[#This Row],[Current Usage]])
)</f>
        <v>429.79</v>
      </c>
      <c r="S103" s="9">
        <f>IF(OR(Dashboard_Query[[#This Row],[Monthly Allowance]]="",Dashboard_Query[[#This Row],[Current Usage]]=""),"",Dashboard_Query[[#This Row],[Current Usage]]/Dashboard_Query[[#This Row],[Monthly Allowance]])</f>
        <v>0.14041999999999999</v>
      </c>
      <c r="T103" s="9">
        <f>IF(Dashboard_Query[[#This Row],[% Used]]="","",1-Dashboard_Query[[#This Row],[% Used]])</f>
        <v>0.85958000000000001</v>
      </c>
      <c r="U103" s="4">
        <f>IF(OR(Dashboard_Query[[#This Row],[Monthly Allowance]]="",Dashboard_Query[[#This Row],[Current Usage]]=""),"",MAX(0,Dashboard_Query[[#This Row],[Current Usage]]-Dashboard_Query[[#This Row],[Monthly Allowance]]))</f>
        <v>0</v>
      </c>
      <c r="V103" s="4" t="str">
        <f>IF(Dashboard_Query[[#This Row],[Monthly Allowance]]="","",IF(Dashboard_Query[[#This Row],[Overage]]&gt;0,"OVER",IF(Dashboard_Query[[#This Row],[% Used]]&gt;=0.8,"WARNING","OK")))</f>
        <v>OK</v>
      </c>
      <c r="W103" s="1"/>
      <c r="X103" s="1"/>
    </row>
    <row r="104" spans="1:24">
      <c r="A104" s="4" t="s">
        <v>163</v>
      </c>
      <c r="B104" s="4">
        <v>812925</v>
      </c>
      <c r="C104" s="4" t="s">
        <v>123</v>
      </c>
      <c r="D104" s="4" t="s">
        <v>124</v>
      </c>
      <c r="E104" s="4" t="s">
        <v>125</v>
      </c>
      <c r="F104" s="4">
        <v>211121067</v>
      </c>
      <c r="G104" s="6">
        <v>46219</v>
      </c>
      <c r="H104" s="6">
        <v>46219</v>
      </c>
      <c r="I104" s="32">
        <v>46250</v>
      </c>
      <c r="J104" s="1">
        <v>27</v>
      </c>
      <c r="K104" s="4">
        <v>1000</v>
      </c>
      <c r="M104" s="4" t="s">
        <v>39</v>
      </c>
      <c r="N104" s="6">
        <v>46219</v>
      </c>
      <c r="O104" s="1">
        <v>50</v>
      </c>
      <c r="P104" s="4">
        <v>17.43</v>
      </c>
      <c r="Q104" s="4">
        <v>17.43</v>
      </c>
      <c r="R104" s="4">
        <f>IF(
    OR(Dashboard_Query[[#This Row],[Monthly Allowance]]="",Dashboard_Query[[#This Row],[Current Usage]]=""),
    "",
    MAX(0,Dashboard_Query[[#This Row],[Monthly Allowance]]-Dashboard_Query[[#This Row],[Current Usage]])
)</f>
        <v>982.57</v>
      </c>
      <c r="S104" s="9">
        <f>IF(OR(Dashboard_Query[[#This Row],[Monthly Allowance]]="",Dashboard_Query[[#This Row],[Current Usage]]=""),"",Dashboard_Query[[#This Row],[Current Usage]]/Dashboard_Query[[#This Row],[Monthly Allowance]])</f>
        <v>1.7430000000000001E-2</v>
      </c>
      <c r="T104" s="9">
        <f>IF(Dashboard_Query[[#This Row],[% Used]]="","",1-Dashboard_Query[[#This Row],[% Used]])</f>
        <v>0.98256999999999994</v>
      </c>
      <c r="U104" s="4">
        <f>IF(OR(Dashboard_Query[[#This Row],[Monthly Allowance]]="",Dashboard_Query[[#This Row],[Current Usage]]=""),"",MAX(0,Dashboard_Query[[#This Row],[Current Usage]]-Dashboard_Query[[#This Row],[Monthly Allowance]]))</f>
        <v>0</v>
      </c>
      <c r="V104" s="4" t="str">
        <f>IF(Dashboard_Query[[#This Row],[Monthly Allowance]]="","",IF(Dashboard_Query[[#This Row],[Overage]]&gt;0,"OVER",IF(Dashboard_Query[[#This Row],[% Used]]&gt;=0.8,"WARNING","OK")))</f>
        <v>OK</v>
      </c>
      <c r="W104" s="1"/>
      <c r="X104" s="1"/>
    </row>
    <row r="105" spans="1:24">
      <c r="A105" s="4" t="s">
        <v>164</v>
      </c>
      <c r="B105" s="4">
        <v>809663</v>
      </c>
      <c r="C105" s="4" t="s">
        <v>54</v>
      </c>
      <c r="D105" s="4" t="s">
        <v>55</v>
      </c>
      <c r="E105" s="4" t="s">
        <v>56</v>
      </c>
      <c r="F105" s="4">
        <v>211120934</v>
      </c>
      <c r="G105" s="6">
        <v>46214</v>
      </c>
      <c r="H105" s="6">
        <v>46214</v>
      </c>
      <c r="I105" s="32">
        <v>46245</v>
      </c>
      <c r="J105" s="1">
        <v>22</v>
      </c>
      <c r="K105" s="4">
        <v>500</v>
      </c>
      <c r="M105" s="4" t="s">
        <v>39</v>
      </c>
      <c r="N105" s="6">
        <v>46214</v>
      </c>
      <c r="O105" s="1">
        <v>500</v>
      </c>
      <c r="P105" s="4">
        <v>10.89</v>
      </c>
      <c r="Q105" s="4">
        <v>10.89</v>
      </c>
      <c r="R105" s="4">
        <f>IF(
    OR(Dashboard_Query[[#This Row],[Monthly Allowance]]="",Dashboard_Query[[#This Row],[Current Usage]]=""),
    "",
    MAX(0,Dashboard_Query[[#This Row],[Monthly Allowance]]-Dashboard_Query[[#This Row],[Current Usage]])
)</f>
        <v>489.11</v>
      </c>
      <c r="S105" s="9">
        <f>IF(OR(Dashboard_Query[[#This Row],[Monthly Allowance]]="",Dashboard_Query[[#This Row],[Current Usage]]=""),"",Dashboard_Query[[#This Row],[Current Usage]]/Dashboard_Query[[#This Row],[Monthly Allowance]])</f>
        <v>2.1780000000000001E-2</v>
      </c>
      <c r="T105" s="9">
        <f>IF(Dashboard_Query[[#This Row],[% Used]]="","",1-Dashboard_Query[[#This Row],[% Used]])</f>
        <v>0.97821999999999998</v>
      </c>
      <c r="U105" s="4">
        <f>IF(OR(Dashboard_Query[[#This Row],[Monthly Allowance]]="",Dashboard_Query[[#This Row],[Current Usage]]=""),"",MAX(0,Dashboard_Query[[#This Row],[Current Usage]]-Dashboard_Query[[#This Row],[Monthly Allowance]]))</f>
        <v>0</v>
      </c>
      <c r="V105" s="4" t="str">
        <f>IF(Dashboard_Query[[#This Row],[Monthly Allowance]]="","",IF(Dashboard_Query[[#This Row],[Overage]]&gt;0,"OVER",IF(Dashboard_Query[[#This Row],[% Used]]&gt;=0.8,"WARNING","OK")))</f>
        <v>OK</v>
      </c>
      <c r="W105" s="1"/>
      <c r="X105" s="1"/>
    </row>
    <row r="106" spans="1:24">
      <c r="A106" s="4" t="s">
        <v>165</v>
      </c>
      <c r="B106" s="4">
        <v>810101</v>
      </c>
      <c r="C106" s="4" t="s">
        <v>123</v>
      </c>
      <c r="D106" s="4" t="s">
        <v>124</v>
      </c>
      <c r="E106" s="4" t="s">
        <v>125</v>
      </c>
      <c r="F106" s="4">
        <v>211121067</v>
      </c>
      <c r="G106" s="6">
        <v>46219</v>
      </c>
      <c r="H106" s="6">
        <v>46219</v>
      </c>
      <c r="I106" s="32">
        <v>46250</v>
      </c>
      <c r="J106" s="1">
        <v>27</v>
      </c>
      <c r="K106" s="4">
        <v>500</v>
      </c>
      <c r="M106" s="4" t="s">
        <v>39</v>
      </c>
      <c r="N106" s="6">
        <v>46219</v>
      </c>
      <c r="O106" s="1">
        <v>50</v>
      </c>
      <c r="P106" s="4">
        <v>0</v>
      </c>
      <c r="Q106" s="4">
        <v>0</v>
      </c>
      <c r="R106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106" s="9">
        <f>IF(OR(Dashboard_Query[[#This Row],[Monthly Allowance]]="",Dashboard_Query[[#This Row],[Current Usage]]=""),"",Dashboard_Query[[#This Row],[Current Usage]]/Dashboard_Query[[#This Row],[Monthly Allowance]])</f>
        <v>0</v>
      </c>
      <c r="T106" s="9">
        <f>IF(Dashboard_Query[[#This Row],[% Used]]="","",1-Dashboard_Query[[#This Row],[% Used]])</f>
        <v>1</v>
      </c>
      <c r="U106" s="4">
        <f>IF(OR(Dashboard_Query[[#This Row],[Monthly Allowance]]="",Dashboard_Query[[#This Row],[Current Usage]]=""),"",MAX(0,Dashboard_Query[[#This Row],[Current Usage]]-Dashboard_Query[[#This Row],[Monthly Allowance]]))</f>
        <v>0</v>
      </c>
      <c r="V106" s="4" t="str">
        <f>IF(Dashboard_Query[[#This Row],[Monthly Allowance]]="","",IF(Dashboard_Query[[#This Row],[Overage]]&gt;0,"OVER",IF(Dashboard_Query[[#This Row],[% Used]]&gt;=0.8,"WARNING","OK")))</f>
        <v>OK</v>
      </c>
      <c r="W106" s="1"/>
      <c r="X106" s="1"/>
    </row>
    <row r="107" spans="1:24" hidden="1">
      <c r="A107" s="4" t="s">
        <v>166</v>
      </c>
      <c r="B107" s="4">
        <v>812841</v>
      </c>
      <c r="C107" s="4"/>
      <c r="D107" s="4"/>
      <c r="E107" s="4"/>
      <c r="F107" s="4"/>
      <c r="G107" s="6"/>
      <c r="H107" s="6"/>
      <c r="I107" s="32"/>
      <c r="J107" s="1"/>
      <c r="K107" s="4">
        <v>500</v>
      </c>
      <c r="M107" s="4" t="s">
        <v>74</v>
      </c>
      <c r="N107" s="6"/>
      <c r="O107" s="1">
        <v>500</v>
      </c>
      <c r="P107" s="4">
        <v>66.86</v>
      </c>
      <c r="Q107" s="4">
        <v>66.86</v>
      </c>
      <c r="R107" s="4">
        <f>IF(
    OR(Dashboard_Query[[#This Row],[Monthly Allowance]]="",Dashboard_Query[[#This Row],[Current Usage]]=""),
    "",
    MAX(0,Dashboard_Query[[#This Row],[Monthly Allowance]]-Dashboard_Query[[#This Row],[Current Usage]])
)</f>
        <v>433.14</v>
      </c>
      <c r="S107" s="9">
        <f>IF(OR(Dashboard_Query[[#This Row],[Monthly Allowance]]="",Dashboard_Query[[#This Row],[Current Usage]]=""),"",Dashboard_Query[[#This Row],[Current Usage]]/Dashboard_Query[[#This Row],[Monthly Allowance]])</f>
        <v>0.13372000000000001</v>
      </c>
      <c r="T107" s="9">
        <f>IF(Dashboard_Query[[#This Row],[% Used]]="","",1-Dashboard_Query[[#This Row],[% Used]])</f>
        <v>0.86627999999999994</v>
      </c>
      <c r="U107" s="4">
        <f>IF(OR(Dashboard_Query[[#This Row],[Monthly Allowance]]="",Dashboard_Query[[#This Row],[Current Usage]]=""),"",MAX(0,Dashboard_Query[[#This Row],[Current Usage]]-Dashboard_Query[[#This Row],[Monthly Allowance]]))</f>
        <v>0</v>
      </c>
      <c r="V107" s="4" t="str">
        <f>IF(Dashboard_Query[[#This Row],[Monthly Allowance]]="","",IF(Dashboard_Query[[#This Row],[Overage]]&gt;0,"OVER",IF(Dashboard_Query[[#This Row],[% Used]]&gt;=0.8,"WARNING","OK")))</f>
        <v>OK</v>
      </c>
      <c r="W107" s="1"/>
      <c r="X107" s="1"/>
    </row>
    <row r="108" spans="1:24">
      <c r="A108" s="4" t="s">
        <v>167</v>
      </c>
      <c r="B108" s="4">
        <v>814463</v>
      </c>
      <c r="C108" s="4" t="s">
        <v>123</v>
      </c>
      <c r="D108" s="4" t="s">
        <v>124</v>
      </c>
      <c r="E108" s="4" t="s">
        <v>125</v>
      </c>
      <c r="F108" s="4">
        <v>211121067</v>
      </c>
      <c r="G108" s="6">
        <v>46219</v>
      </c>
      <c r="H108" s="6">
        <v>46219</v>
      </c>
      <c r="I108" s="32">
        <v>46250</v>
      </c>
      <c r="J108" s="1">
        <v>27</v>
      </c>
      <c r="K108" s="4">
        <v>500</v>
      </c>
      <c r="M108" s="4" t="s">
        <v>39</v>
      </c>
      <c r="N108" s="6">
        <v>46219</v>
      </c>
      <c r="O108" s="1">
        <v>50</v>
      </c>
      <c r="P108" s="4">
        <v>0</v>
      </c>
      <c r="Q108" s="4">
        <v>0</v>
      </c>
      <c r="R108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108" s="9">
        <f>IF(OR(Dashboard_Query[[#This Row],[Monthly Allowance]]="",Dashboard_Query[[#This Row],[Current Usage]]=""),"",Dashboard_Query[[#This Row],[Current Usage]]/Dashboard_Query[[#This Row],[Monthly Allowance]])</f>
        <v>0</v>
      </c>
      <c r="T108" s="9">
        <f>IF(Dashboard_Query[[#This Row],[% Used]]="","",1-Dashboard_Query[[#This Row],[% Used]])</f>
        <v>1</v>
      </c>
      <c r="U108" s="4">
        <f>IF(OR(Dashboard_Query[[#This Row],[Monthly Allowance]]="",Dashboard_Query[[#This Row],[Current Usage]]=""),"",MAX(0,Dashboard_Query[[#This Row],[Current Usage]]-Dashboard_Query[[#This Row],[Monthly Allowance]]))</f>
        <v>0</v>
      </c>
      <c r="V108" s="4" t="str">
        <f>IF(Dashboard_Query[[#This Row],[Monthly Allowance]]="","",IF(Dashboard_Query[[#This Row],[Overage]]&gt;0,"OVER",IF(Dashboard_Query[[#This Row],[% Used]]&gt;=0.8,"WARNING","OK")))</f>
        <v>OK</v>
      </c>
      <c r="W108" s="1"/>
      <c r="X108" s="1"/>
    </row>
    <row r="109" spans="1:24">
      <c r="A109" s="4" t="s">
        <v>168</v>
      </c>
      <c r="B109" s="4">
        <v>809859</v>
      </c>
      <c r="C109" s="4" t="s">
        <v>54</v>
      </c>
      <c r="D109" s="4" t="s">
        <v>55</v>
      </c>
      <c r="E109" s="4" t="s">
        <v>56</v>
      </c>
      <c r="F109" s="4">
        <v>211120934</v>
      </c>
      <c r="G109" s="6">
        <v>46214</v>
      </c>
      <c r="H109" s="6">
        <v>46214</v>
      </c>
      <c r="I109" s="32">
        <v>46245</v>
      </c>
      <c r="J109" s="1">
        <v>22</v>
      </c>
      <c r="K109" s="4">
        <v>500</v>
      </c>
      <c r="M109" s="4" t="s">
        <v>39</v>
      </c>
      <c r="N109" s="6">
        <v>46214</v>
      </c>
      <c r="O109" s="1">
        <v>50</v>
      </c>
      <c r="P109" s="4">
        <v>40.549999999999997</v>
      </c>
      <c r="Q109" s="4">
        <v>40.549999999999997</v>
      </c>
      <c r="R109" s="4">
        <f>IF(
    OR(Dashboard_Query[[#This Row],[Monthly Allowance]]="",Dashboard_Query[[#This Row],[Current Usage]]=""),
    "",
    MAX(0,Dashboard_Query[[#This Row],[Monthly Allowance]]-Dashboard_Query[[#This Row],[Current Usage]])
)</f>
        <v>459.45</v>
      </c>
      <c r="S109" s="9">
        <f>IF(OR(Dashboard_Query[[#This Row],[Monthly Allowance]]="",Dashboard_Query[[#This Row],[Current Usage]]=""),"",Dashboard_Query[[#This Row],[Current Usage]]/Dashboard_Query[[#This Row],[Monthly Allowance]])</f>
        <v>8.1099999999999992E-2</v>
      </c>
      <c r="T109" s="9">
        <f>IF(Dashboard_Query[[#This Row],[% Used]]="","",1-Dashboard_Query[[#This Row],[% Used]])</f>
        <v>0.91890000000000005</v>
      </c>
      <c r="U109" s="4">
        <f>IF(OR(Dashboard_Query[[#This Row],[Monthly Allowance]]="",Dashboard_Query[[#This Row],[Current Usage]]=""),"",MAX(0,Dashboard_Query[[#This Row],[Current Usage]]-Dashboard_Query[[#This Row],[Monthly Allowance]]))</f>
        <v>0</v>
      </c>
      <c r="V109" s="4" t="str">
        <f>IF(Dashboard_Query[[#This Row],[Monthly Allowance]]="","",IF(Dashboard_Query[[#This Row],[Overage]]&gt;0,"OVER",IF(Dashboard_Query[[#This Row],[% Used]]&gt;=0.8,"WARNING","OK")))</f>
        <v>OK</v>
      </c>
      <c r="W109" s="1"/>
      <c r="X109" s="1"/>
    </row>
    <row r="110" spans="1:24">
      <c r="A110" s="4" t="s">
        <v>169</v>
      </c>
      <c r="B110" s="4">
        <v>810646</v>
      </c>
      <c r="C110" s="4" t="s">
        <v>123</v>
      </c>
      <c r="D110" s="4" t="s">
        <v>124</v>
      </c>
      <c r="E110" s="4" t="s">
        <v>125</v>
      </c>
      <c r="F110" s="4">
        <v>211121067</v>
      </c>
      <c r="G110" s="6">
        <v>46219</v>
      </c>
      <c r="H110" s="6">
        <v>46219</v>
      </c>
      <c r="I110" s="32">
        <v>46250</v>
      </c>
      <c r="J110" s="1">
        <v>27</v>
      </c>
      <c r="K110" s="4">
        <v>500</v>
      </c>
      <c r="M110" s="4" t="s">
        <v>39</v>
      </c>
      <c r="N110" s="6">
        <v>46219</v>
      </c>
      <c r="O110" s="1">
        <v>50</v>
      </c>
      <c r="P110" s="4">
        <v>0</v>
      </c>
      <c r="Q110" s="4">
        <v>0</v>
      </c>
      <c r="R110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110" s="9">
        <f>IF(OR(Dashboard_Query[[#This Row],[Monthly Allowance]]="",Dashboard_Query[[#This Row],[Current Usage]]=""),"",Dashboard_Query[[#This Row],[Current Usage]]/Dashboard_Query[[#This Row],[Monthly Allowance]])</f>
        <v>0</v>
      </c>
      <c r="T110" s="9">
        <f>IF(Dashboard_Query[[#This Row],[% Used]]="","",1-Dashboard_Query[[#This Row],[% Used]])</f>
        <v>1</v>
      </c>
      <c r="U110" s="4">
        <f>IF(OR(Dashboard_Query[[#This Row],[Monthly Allowance]]="",Dashboard_Query[[#This Row],[Current Usage]]=""),"",MAX(0,Dashboard_Query[[#This Row],[Current Usage]]-Dashboard_Query[[#This Row],[Monthly Allowance]]))</f>
        <v>0</v>
      </c>
      <c r="V110" s="4" t="str">
        <f>IF(Dashboard_Query[[#This Row],[Monthly Allowance]]="","",IF(Dashboard_Query[[#This Row],[Overage]]&gt;0,"OVER",IF(Dashboard_Query[[#This Row],[% Used]]&gt;=0.8,"WARNING","OK")))</f>
        <v>OK</v>
      </c>
      <c r="W110" s="1"/>
      <c r="X110" s="1"/>
    </row>
    <row r="111" spans="1:24">
      <c r="A111" s="4" t="s">
        <v>170</v>
      </c>
      <c r="B111" s="4">
        <v>812832</v>
      </c>
      <c r="C111" s="4" t="s">
        <v>41</v>
      </c>
      <c r="D111" s="4" t="s">
        <v>42</v>
      </c>
      <c r="E111" s="4" t="s">
        <v>43</v>
      </c>
      <c r="F111" s="4">
        <v>211120721</v>
      </c>
      <c r="G111" s="6">
        <v>46204</v>
      </c>
      <c r="H111" s="6">
        <v>46204</v>
      </c>
      <c r="I111" s="32">
        <v>46235</v>
      </c>
      <c r="J111" s="1">
        <v>12</v>
      </c>
      <c r="K111" s="4">
        <v>500</v>
      </c>
      <c r="M111" s="4" t="s">
        <v>39</v>
      </c>
      <c r="N111" s="6">
        <v>46204</v>
      </c>
      <c r="O111" s="1">
        <v>50</v>
      </c>
      <c r="P111" s="4">
        <v>66.66</v>
      </c>
      <c r="Q111" s="4">
        <v>66.66</v>
      </c>
      <c r="R111" s="4">
        <f>IF(
    OR(Dashboard_Query[[#This Row],[Monthly Allowance]]="",Dashboard_Query[[#This Row],[Current Usage]]=""),
    "",
    MAX(0,Dashboard_Query[[#This Row],[Monthly Allowance]]-Dashboard_Query[[#This Row],[Current Usage]])
)</f>
        <v>433.34000000000003</v>
      </c>
      <c r="S111" s="9">
        <f>IF(OR(Dashboard_Query[[#This Row],[Monthly Allowance]]="",Dashboard_Query[[#This Row],[Current Usage]]=""),"",Dashboard_Query[[#This Row],[Current Usage]]/Dashboard_Query[[#This Row],[Monthly Allowance]])</f>
        <v>0.13331999999999999</v>
      </c>
      <c r="T111" s="9">
        <f>IF(Dashboard_Query[[#This Row],[% Used]]="","",1-Dashboard_Query[[#This Row],[% Used]])</f>
        <v>0.86668000000000001</v>
      </c>
      <c r="U111" s="4">
        <f>IF(OR(Dashboard_Query[[#This Row],[Monthly Allowance]]="",Dashboard_Query[[#This Row],[Current Usage]]=""),"",MAX(0,Dashboard_Query[[#This Row],[Current Usage]]-Dashboard_Query[[#This Row],[Monthly Allowance]]))</f>
        <v>0</v>
      </c>
      <c r="V111" s="4" t="str">
        <f>IF(Dashboard_Query[[#This Row],[Monthly Allowance]]="","",IF(Dashboard_Query[[#This Row],[Overage]]&gt;0,"OVER",IF(Dashboard_Query[[#This Row],[% Used]]&gt;=0.8,"WARNING","OK")))</f>
        <v>OK</v>
      </c>
      <c r="W111" s="1"/>
      <c r="X111" s="1"/>
    </row>
    <row r="112" spans="1:24">
      <c r="A112" s="4" t="s">
        <v>171</v>
      </c>
      <c r="B112" s="4">
        <v>810104</v>
      </c>
      <c r="C112" s="4" t="s">
        <v>123</v>
      </c>
      <c r="D112" s="4" t="s">
        <v>124</v>
      </c>
      <c r="E112" s="4" t="s">
        <v>125</v>
      </c>
      <c r="F112" s="4">
        <v>211121067</v>
      </c>
      <c r="G112" s="6">
        <v>46219</v>
      </c>
      <c r="H112" s="6">
        <v>46219</v>
      </c>
      <c r="I112" s="32">
        <v>46250</v>
      </c>
      <c r="J112" s="1">
        <v>27</v>
      </c>
      <c r="K112" s="4">
        <v>500</v>
      </c>
      <c r="M112" s="4" t="s">
        <v>39</v>
      </c>
      <c r="N112" s="6">
        <v>46219</v>
      </c>
      <c r="O112" s="1">
        <v>50</v>
      </c>
      <c r="P112" s="4">
        <v>19.68</v>
      </c>
      <c r="Q112" s="4">
        <v>19.68</v>
      </c>
      <c r="R112" s="4">
        <f>IF(
    OR(Dashboard_Query[[#This Row],[Monthly Allowance]]="",Dashboard_Query[[#This Row],[Current Usage]]=""),
    "",
    MAX(0,Dashboard_Query[[#This Row],[Monthly Allowance]]-Dashboard_Query[[#This Row],[Current Usage]])
)</f>
        <v>480.32</v>
      </c>
      <c r="S112" s="9">
        <f>IF(OR(Dashboard_Query[[#This Row],[Monthly Allowance]]="",Dashboard_Query[[#This Row],[Current Usage]]=""),"",Dashboard_Query[[#This Row],[Current Usage]]/Dashboard_Query[[#This Row],[Monthly Allowance]])</f>
        <v>3.9359999999999999E-2</v>
      </c>
      <c r="T112" s="9">
        <f>IF(Dashboard_Query[[#This Row],[% Used]]="","",1-Dashboard_Query[[#This Row],[% Used]])</f>
        <v>0.96064000000000005</v>
      </c>
      <c r="U112" s="4">
        <f>IF(OR(Dashboard_Query[[#This Row],[Monthly Allowance]]="",Dashboard_Query[[#This Row],[Current Usage]]=""),"",MAX(0,Dashboard_Query[[#This Row],[Current Usage]]-Dashboard_Query[[#This Row],[Monthly Allowance]]))</f>
        <v>0</v>
      </c>
      <c r="V112" s="4" t="str">
        <f>IF(Dashboard_Query[[#This Row],[Monthly Allowance]]="","",IF(Dashboard_Query[[#This Row],[Overage]]&gt;0,"OVER",IF(Dashboard_Query[[#This Row],[% Used]]&gt;=0.8,"WARNING","OK")))</f>
        <v>OK</v>
      </c>
      <c r="W112" s="1"/>
      <c r="X112" s="1"/>
    </row>
    <row r="113" spans="1:24">
      <c r="A113" s="4" t="s">
        <v>172</v>
      </c>
      <c r="B113" s="4">
        <v>809860</v>
      </c>
      <c r="C113" s="4" t="s">
        <v>123</v>
      </c>
      <c r="D113" s="4" t="s">
        <v>124</v>
      </c>
      <c r="E113" s="4" t="s">
        <v>125</v>
      </c>
      <c r="F113" s="4">
        <v>211121067</v>
      </c>
      <c r="G113" s="6">
        <v>46219</v>
      </c>
      <c r="H113" s="6">
        <v>46219</v>
      </c>
      <c r="I113" s="32">
        <v>46250</v>
      </c>
      <c r="J113" s="1">
        <v>27</v>
      </c>
      <c r="K113" s="4">
        <v>500</v>
      </c>
      <c r="M113" s="4" t="s">
        <v>39</v>
      </c>
      <c r="N113" s="6">
        <v>46219</v>
      </c>
      <c r="O113" s="1">
        <v>50</v>
      </c>
      <c r="P113" s="4">
        <v>0</v>
      </c>
      <c r="Q113" s="4">
        <v>0</v>
      </c>
      <c r="R113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113" s="9">
        <f>IF(OR(Dashboard_Query[[#This Row],[Monthly Allowance]]="",Dashboard_Query[[#This Row],[Current Usage]]=""),"",Dashboard_Query[[#This Row],[Current Usage]]/Dashboard_Query[[#This Row],[Monthly Allowance]])</f>
        <v>0</v>
      </c>
      <c r="T113" s="9">
        <f>IF(Dashboard_Query[[#This Row],[% Used]]="","",1-Dashboard_Query[[#This Row],[% Used]])</f>
        <v>1</v>
      </c>
      <c r="U113" s="4">
        <f>IF(OR(Dashboard_Query[[#This Row],[Monthly Allowance]]="",Dashboard_Query[[#This Row],[Current Usage]]=""),"",MAX(0,Dashboard_Query[[#This Row],[Current Usage]]-Dashboard_Query[[#This Row],[Monthly Allowance]]))</f>
        <v>0</v>
      </c>
      <c r="V113" s="4" t="str">
        <f>IF(Dashboard_Query[[#This Row],[Monthly Allowance]]="","",IF(Dashboard_Query[[#This Row],[Overage]]&gt;0,"OVER",IF(Dashboard_Query[[#This Row],[% Used]]&gt;=0.8,"WARNING","OK")))</f>
        <v>OK</v>
      </c>
      <c r="W113" s="1"/>
      <c r="X113" s="1"/>
    </row>
    <row r="114" spans="1:24">
      <c r="A114" s="4" t="s">
        <v>173</v>
      </c>
      <c r="B114" s="4">
        <v>810099</v>
      </c>
      <c r="C114" s="4" t="s">
        <v>123</v>
      </c>
      <c r="D114" s="4" t="s">
        <v>124</v>
      </c>
      <c r="E114" s="4" t="s">
        <v>125</v>
      </c>
      <c r="F114" s="4">
        <v>211121067</v>
      </c>
      <c r="G114" s="6">
        <v>46219</v>
      </c>
      <c r="H114" s="6">
        <v>46219</v>
      </c>
      <c r="I114" s="32">
        <v>46250</v>
      </c>
      <c r="J114" s="1">
        <v>27</v>
      </c>
      <c r="K114" s="4">
        <v>500</v>
      </c>
      <c r="M114" s="4" t="s">
        <v>39</v>
      </c>
      <c r="N114" s="6">
        <v>46219</v>
      </c>
      <c r="O114" s="1">
        <v>50</v>
      </c>
      <c r="P114" s="4">
        <v>1.94</v>
      </c>
      <c r="Q114" s="4">
        <v>1.94</v>
      </c>
      <c r="R114" s="4">
        <f>IF(
    OR(Dashboard_Query[[#This Row],[Monthly Allowance]]="",Dashboard_Query[[#This Row],[Current Usage]]=""),
    "",
    MAX(0,Dashboard_Query[[#This Row],[Monthly Allowance]]-Dashboard_Query[[#This Row],[Current Usage]])
)</f>
        <v>498.06</v>
      </c>
      <c r="S114" s="9">
        <f>IF(OR(Dashboard_Query[[#This Row],[Monthly Allowance]]="",Dashboard_Query[[#This Row],[Current Usage]]=""),"",Dashboard_Query[[#This Row],[Current Usage]]/Dashboard_Query[[#This Row],[Monthly Allowance]])</f>
        <v>3.8799999999999998E-3</v>
      </c>
      <c r="T114" s="9">
        <f>IF(Dashboard_Query[[#This Row],[% Used]]="","",1-Dashboard_Query[[#This Row],[% Used]])</f>
        <v>0.99612000000000001</v>
      </c>
      <c r="U114" s="4">
        <f>IF(OR(Dashboard_Query[[#This Row],[Monthly Allowance]]="",Dashboard_Query[[#This Row],[Current Usage]]=""),"",MAX(0,Dashboard_Query[[#This Row],[Current Usage]]-Dashboard_Query[[#This Row],[Monthly Allowance]]))</f>
        <v>0</v>
      </c>
      <c r="V114" s="4" t="str">
        <f>IF(Dashboard_Query[[#This Row],[Monthly Allowance]]="","",IF(Dashboard_Query[[#This Row],[Overage]]&gt;0,"OVER",IF(Dashboard_Query[[#This Row],[% Used]]&gt;=0.8,"WARNING","OK")))</f>
        <v>OK</v>
      </c>
      <c r="W114" s="1"/>
      <c r="X114" s="1"/>
    </row>
    <row r="115" spans="1:24">
      <c r="A115" s="4" t="s">
        <v>174</v>
      </c>
      <c r="B115" s="4">
        <v>810647</v>
      </c>
      <c r="C115" s="4" t="s">
        <v>123</v>
      </c>
      <c r="D115" s="4" t="s">
        <v>124</v>
      </c>
      <c r="E115" s="4" t="s">
        <v>125</v>
      </c>
      <c r="F115" s="4">
        <v>211121067</v>
      </c>
      <c r="G115" s="6">
        <v>46219</v>
      </c>
      <c r="H115" s="6">
        <v>46219</v>
      </c>
      <c r="I115" s="32">
        <v>46250</v>
      </c>
      <c r="J115" s="1">
        <v>27</v>
      </c>
      <c r="K115" s="4">
        <v>500</v>
      </c>
      <c r="M115" s="4" t="s">
        <v>39</v>
      </c>
      <c r="N115" s="6">
        <v>46219</v>
      </c>
      <c r="O115" s="1">
        <v>50</v>
      </c>
      <c r="P115" s="4">
        <v>0</v>
      </c>
      <c r="Q115" s="4">
        <v>0</v>
      </c>
      <c r="R115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115" s="9">
        <f>IF(OR(Dashboard_Query[[#This Row],[Monthly Allowance]]="",Dashboard_Query[[#This Row],[Current Usage]]=""),"",Dashboard_Query[[#This Row],[Current Usage]]/Dashboard_Query[[#This Row],[Monthly Allowance]])</f>
        <v>0</v>
      </c>
      <c r="T115" s="9">
        <f>IF(Dashboard_Query[[#This Row],[% Used]]="","",1-Dashboard_Query[[#This Row],[% Used]])</f>
        <v>1</v>
      </c>
      <c r="U115" s="4">
        <f>IF(OR(Dashboard_Query[[#This Row],[Monthly Allowance]]="",Dashboard_Query[[#This Row],[Current Usage]]=""),"",MAX(0,Dashboard_Query[[#This Row],[Current Usage]]-Dashboard_Query[[#This Row],[Monthly Allowance]]))</f>
        <v>0</v>
      </c>
      <c r="V115" s="4" t="str">
        <f>IF(Dashboard_Query[[#This Row],[Monthly Allowance]]="","",IF(Dashboard_Query[[#This Row],[Overage]]&gt;0,"OVER",IF(Dashboard_Query[[#This Row],[% Used]]&gt;=0.8,"WARNING","OK")))</f>
        <v>OK</v>
      </c>
      <c r="W115" s="1"/>
      <c r="X115" s="1"/>
    </row>
    <row r="116" spans="1:24">
      <c r="A116" s="4" t="s">
        <v>175</v>
      </c>
      <c r="B116" s="4">
        <v>812807</v>
      </c>
      <c r="C116" s="4" t="s">
        <v>47</v>
      </c>
      <c r="D116" s="4" t="s">
        <v>48</v>
      </c>
      <c r="E116" s="4" t="s">
        <v>49</v>
      </c>
      <c r="F116" s="4">
        <v>211120714</v>
      </c>
      <c r="G116" s="6">
        <v>46204</v>
      </c>
      <c r="H116" s="6">
        <v>46204</v>
      </c>
      <c r="I116" s="32">
        <v>46235</v>
      </c>
      <c r="J116" s="1">
        <v>12</v>
      </c>
      <c r="K116" s="4">
        <v>500</v>
      </c>
      <c r="M116" s="4" t="s">
        <v>39</v>
      </c>
      <c r="N116" s="6">
        <v>46204</v>
      </c>
      <c r="O116" s="1">
        <v>500</v>
      </c>
      <c r="P116" s="4">
        <v>58.6</v>
      </c>
      <c r="Q116" s="4">
        <v>58.6</v>
      </c>
      <c r="R116" s="4">
        <f>IF(
    OR(Dashboard_Query[[#This Row],[Monthly Allowance]]="",Dashboard_Query[[#This Row],[Current Usage]]=""),
    "",
    MAX(0,Dashboard_Query[[#This Row],[Monthly Allowance]]-Dashboard_Query[[#This Row],[Current Usage]])
)</f>
        <v>441.4</v>
      </c>
      <c r="S116" s="9">
        <f>IF(OR(Dashboard_Query[[#This Row],[Monthly Allowance]]="",Dashboard_Query[[#This Row],[Current Usage]]=""),"",Dashboard_Query[[#This Row],[Current Usage]]/Dashboard_Query[[#This Row],[Monthly Allowance]])</f>
        <v>0.1172</v>
      </c>
      <c r="T116" s="9">
        <f>IF(Dashboard_Query[[#This Row],[% Used]]="","",1-Dashboard_Query[[#This Row],[% Used]])</f>
        <v>0.88280000000000003</v>
      </c>
      <c r="U116" s="4">
        <f>IF(OR(Dashboard_Query[[#This Row],[Monthly Allowance]]="",Dashboard_Query[[#This Row],[Current Usage]]=""),"",MAX(0,Dashboard_Query[[#This Row],[Current Usage]]-Dashboard_Query[[#This Row],[Monthly Allowance]]))</f>
        <v>0</v>
      </c>
      <c r="V116" s="4" t="str">
        <f>IF(Dashboard_Query[[#This Row],[Monthly Allowance]]="","",IF(Dashboard_Query[[#This Row],[Overage]]&gt;0,"OVER",IF(Dashboard_Query[[#This Row],[% Used]]&gt;=0.8,"WARNING","OK")))</f>
        <v>OK</v>
      </c>
      <c r="W116" s="1"/>
      <c r="X116" s="1"/>
    </row>
    <row r="117" spans="1:24">
      <c r="A117" s="4" t="s">
        <v>176</v>
      </c>
      <c r="B117" s="4">
        <v>810100</v>
      </c>
      <c r="C117" s="4" t="s">
        <v>123</v>
      </c>
      <c r="D117" s="4" t="s">
        <v>124</v>
      </c>
      <c r="E117" s="4" t="s">
        <v>125</v>
      </c>
      <c r="F117" s="4">
        <v>211121067</v>
      </c>
      <c r="G117" s="6">
        <v>46219</v>
      </c>
      <c r="H117" s="6">
        <v>46219</v>
      </c>
      <c r="I117" s="32">
        <v>46250</v>
      </c>
      <c r="J117" s="1">
        <v>27</v>
      </c>
      <c r="K117" s="4">
        <v>500</v>
      </c>
      <c r="M117" s="4" t="s">
        <v>39</v>
      </c>
      <c r="N117" s="6">
        <v>46219</v>
      </c>
      <c r="O117" s="1">
        <v>50</v>
      </c>
      <c r="P117" s="4">
        <v>0</v>
      </c>
      <c r="Q117" s="4">
        <v>0</v>
      </c>
      <c r="R117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117" s="9">
        <f>IF(OR(Dashboard_Query[[#This Row],[Monthly Allowance]]="",Dashboard_Query[[#This Row],[Current Usage]]=""),"",Dashboard_Query[[#This Row],[Current Usage]]/Dashboard_Query[[#This Row],[Monthly Allowance]])</f>
        <v>0</v>
      </c>
      <c r="T117" s="9">
        <f>IF(Dashboard_Query[[#This Row],[% Used]]="","",1-Dashboard_Query[[#This Row],[% Used]])</f>
        <v>1</v>
      </c>
      <c r="U117" s="4">
        <f>IF(OR(Dashboard_Query[[#This Row],[Monthly Allowance]]="",Dashboard_Query[[#This Row],[Current Usage]]=""),"",MAX(0,Dashboard_Query[[#This Row],[Current Usage]]-Dashboard_Query[[#This Row],[Monthly Allowance]]))</f>
        <v>0</v>
      </c>
      <c r="V117" s="4" t="str">
        <f>IF(Dashboard_Query[[#This Row],[Monthly Allowance]]="","",IF(Dashboard_Query[[#This Row],[Overage]]&gt;0,"OVER",IF(Dashboard_Query[[#This Row],[% Used]]&gt;=0.8,"WARNING","OK")))</f>
        <v>OK</v>
      </c>
      <c r="W117" s="1"/>
      <c r="X117" s="1"/>
    </row>
    <row r="118" spans="1:24">
      <c r="A118" s="4" t="s">
        <v>177</v>
      </c>
      <c r="B118" s="4">
        <v>809862</v>
      </c>
      <c r="C118" s="4" t="s">
        <v>123</v>
      </c>
      <c r="D118" s="4" t="s">
        <v>124</v>
      </c>
      <c r="E118" s="4" t="s">
        <v>125</v>
      </c>
      <c r="F118" s="4">
        <v>211121067</v>
      </c>
      <c r="G118" s="6">
        <v>46219</v>
      </c>
      <c r="H118" s="6">
        <v>46219</v>
      </c>
      <c r="I118" s="32">
        <v>46250</v>
      </c>
      <c r="J118" s="1">
        <v>27</v>
      </c>
      <c r="K118" s="4">
        <v>500</v>
      </c>
      <c r="M118" s="4" t="s">
        <v>39</v>
      </c>
      <c r="N118" s="6">
        <v>46219</v>
      </c>
      <c r="O118" s="1">
        <v>50</v>
      </c>
      <c r="P118" s="4">
        <v>0</v>
      </c>
      <c r="Q118" s="4">
        <v>0</v>
      </c>
      <c r="R118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118" s="9">
        <f>IF(OR(Dashboard_Query[[#This Row],[Monthly Allowance]]="",Dashboard_Query[[#This Row],[Current Usage]]=""),"",Dashboard_Query[[#This Row],[Current Usage]]/Dashboard_Query[[#This Row],[Monthly Allowance]])</f>
        <v>0</v>
      </c>
      <c r="T118" s="9">
        <f>IF(Dashboard_Query[[#This Row],[% Used]]="","",1-Dashboard_Query[[#This Row],[% Used]])</f>
        <v>1</v>
      </c>
      <c r="U118" s="4">
        <f>IF(OR(Dashboard_Query[[#This Row],[Monthly Allowance]]="",Dashboard_Query[[#This Row],[Current Usage]]=""),"",MAX(0,Dashboard_Query[[#This Row],[Current Usage]]-Dashboard_Query[[#This Row],[Monthly Allowance]]))</f>
        <v>0</v>
      </c>
      <c r="V118" s="4" t="str">
        <f>IF(Dashboard_Query[[#This Row],[Monthly Allowance]]="","",IF(Dashboard_Query[[#This Row],[Overage]]&gt;0,"OVER",IF(Dashboard_Query[[#This Row],[% Used]]&gt;=0.8,"WARNING","OK")))</f>
        <v>OK</v>
      </c>
      <c r="W118" s="1"/>
      <c r="X118" s="1"/>
    </row>
    <row r="119" spans="1:24">
      <c r="A119" s="4" t="s">
        <v>178</v>
      </c>
      <c r="B119" s="4">
        <v>810645</v>
      </c>
      <c r="C119" s="4" t="s">
        <v>123</v>
      </c>
      <c r="D119" s="4" t="s">
        <v>124</v>
      </c>
      <c r="E119" s="4" t="s">
        <v>125</v>
      </c>
      <c r="F119" s="4">
        <v>211121067</v>
      </c>
      <c r="G119" s="6">
        <v>46219</v>
      </c>
      <c r="H119" s="6">
        <v>46219</v>
      </c>
      <c r="I119" s="32">
        <v>46250</v>
      </c>
      <c r="J119" s="1">
        <v>27</v>
      </c>
      <c r="K119" s="4">
        <v>500</v>
      </c>
      <c r="M119" s="4" t="s">
        <v>39</v>
      </c>
      <c r="N119" s="6">
        <v>46219</v>
      </c>
      <c r="O119" s="1">
        <v>50</v>
      </c>
      <c r="P119" s="4">
        <v>0</v>
      </c>
      <c r="Q119" s="4">
        <v>0</v>
      </c>
      <c r="R119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119" s="9">
        <f>IF(OR(Dashboard_Query[[#This Row],[Monthly Allowance]]="",Dashboard_Query[[#This Row],[Current Usage]]=""),"",Dashboard_Query[[#This Row],[Current Usage]]/Dashboard_Query[[#This Row],[Monthly Allowance]])</f>
        <v>0</v>
      </c>
      <c r="T119" s="9">
        <f>IF(Dashboard_Query[[#This Row],[% Used]]="","",1-Dashboard_Query[[#This Row],[% Used]])</f>
        <v>1</v>
      </c>
      <c r="U119" s="4">
        <f>IF(OR(Dashboard_Query[[#This Row],[Monthly Allowance]]="",Dashboard_Query[[#This Row],[Current Usage]]=""),"",MAX(0,Dashboard_Query[[#This Row],[Current Usage]]-Dashboard_Query[[#This Row],[Monthly Allowance]]))</f>
        <v>0</v>
      </c>
      <c r="V119" s="4" t="str">
        <f>IF(Dashboard_Query[[#This Row],[Monthly Allowance]]="","",IF(Dashboard_Query[[#This Row],[Overage]]&gt;0,"OVER",IF(Dashboard_Query[[#This Row],[% Used]]&gt;=0.8,"WARNING","OK")))</f>
        <v>OK</v>
      </c>
      <c r="W119" s="1"/>
      <c r="X119" s="1"/>
    </row>
    <row r="120" spans="1:24">
      <c r="A120" s="4" t="s">
        <v>179</v>
      </c>
      <c r="B120" s="4">
        <v>810644</v>
      </c>
      <c r="C120" s="4" t="s">
        <v>123</v>
      </c>
      <c r="D120" s="4" t="s">
        <v>124</v>
      </c>
      <c r="E120" s="4" t="s">
        <v>125</v>
      </c>
      <c r="F120" s="4">
        <v>211121067</v>
      </c>
      <c r="G120" s="6">
        <v>46219</v>
      </c>
      <c r="H120" s="6">
        <v>46219</v>
      </c>
      <c r="I120" s="32">
        <v>46250</v>
      </c>
      <c r="J120" s="1">
        <v>27</v>
      </c>
      <c r="K120" s="4">
        <v>500</v>
      </c>
      <c r="M120" s="4" t="s">
        <v>39</v>
      </c>
      <c r="N120" s="6">
        <v>46219</v>
      </c>
      <c r="O120" s="1">
        <v>50</v>
      </c>
      <c r="P120" s="4">
        <v>34.270000000000003</v>
      </c>
      <c r="Q120" s="4">
        <v>34.270000000000003</v>
      </c>
      <c r="R120" s="4">
        <f>IF(
    OR(Dashboard_Query[[#This Row],[Monthly Allowance]]="",Dashboard_Query[[#This Row],[Current Usage]]=""),
    "",
    MAX(0,Dashboard_Query[[#This Row],[Monthly Allowance]]-Dashboard_Query[[#This Row],[Current Usage]])
)</f>
        <v>465.73</v>
      </c>
      <c r="S120" s="9">
        <f>IF(OR(Dashboard_Query[[#This Row],[Monthly Allowance]]="",Dashboard_Query[[#This Row],[Current Usage]]=""),"",Dashboard_Query[[#This Row],[Current Usage]]/Dashboard_Query[[#This Row],[Monthly Allowance]])</f>
        <v>6.8540000000000004E-2</v>
      </c>
      <c r="T120" s="9">
        <f>IF(Dashboard_Query[[#This Row],[% Used]]="","",1-Dashboard_Query[[#This Row],[% Used]])</f>
        <v>0.93145999999999995</v>
      </c>
      <c r="U120" s="4">
        <f>IF(OR(Dashboard_Query[[#This Row],[Monthly Allowance]]="",Dashboard_Query[[#This Row],[Current Usage]]=""),"",MAX(0,Dashboard_Query[[#This Row],[Current Usage]]-Dashboard_Query[[#This Row],[Monthly Allowance]]))</f>
        <v>0</v>
      </c>
      <c r="V120" s="4" t="str">
        <f>IF(Dashboard_Query[[#This Row],[Monthly Allowance]]="","",IF(Dashboard_Query[[#This Row],[Overage]]&gt;0,"OVER",IF(Dashboard_Query[[#This Row],[% Used]]&gt;=0.8,"WARNING","OK")))</f>
        <v>OK</v>
      </c>
      <c r="W120" s="1"/>
      <c r="X120" s="1"/>
    </row>
    <row r="121" spans="1:24" hidden="1">
      <c r="A121" s="4" t="s">
        <v>180</v>
      </c>
      <c r="B121" s="4">
        <v>809863</v>
      </c>
      <c r="C121" s="4"/>
      <c r="D121" s="4"/>
      <c r="E121" s="4"/>
      <c r="F121" s="4"/>
      <c r="G121" s="6"/>
      <c r="H121" s="6"/>
      <c r="I121" s="32"/>
      <c r="J121" s="1"/>
      <c r="K121" s="4">
        <v>500</v>
      </c>
      <c r="M121" s="4" t="s">
        <v>74</v>
      </c>
      <c r="N121" s="6"/>
      <c r="O121" s="1">
        <v>50</v>
      </c>
      <c r="P121" s="4">
        <v>0</v>
      </c>
      <c r="Q121" s="4">
        <v>0</v>
      </c>
      <c r="R121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121" s="9">
        <f>IF(OR(Dashboard_Query[[#This Row],[Monthly Allowance]]="",Dashboard_Query[[#This Row],[Current Usage]]=""),"",Dashboard_Query[[#This Row],[Current Usage]]/Dashboard_Query[[#This Row],[Monthly Allowance]])</f>
        <v>0</v>
      </c>
      <c r="T121" s="9">
        <f>IF(Dashboard_Query[[#This Row],[% Used]]="","",1-Dashboard_Query[[#This Row],[% Used]])</f>
        <v>1</v>
      </c>
      <c r="U121" s="4">
        <f>IF(OR(Dashboard_Query[[#This Row],[Monthly Allowance]]="",Dashboard_Query[[#This Row],[Current Usage]]=""),"",MAX(0,Dashboard_Query[[#This Row],[Current Usage]]-Dashboard_Query[[#This Row],[Monthly Allowance]]))</f>
        <v>0</v>
      </c>
      <c r="V121" s="4" t="str">
        <f>IF(Dashboard_Query[[#This Row],[Monthly Allowance]]="","",IF(Dashboard_Query[[#This Row],[Overage]]&gt;0,"OVER",IF(Dashboard_Query[[#This Row],[% Used]]&gt;=0.8,"WARNING","OK")))</f>
        <v>OK</v>
      </c>
      <c r="W121" s="1"/>
      <c r="X121" s="1"/>
    </row>
    <row r="122" spans="1:24">
      <c r="A122" s="4" t="s">
        <v>181</v>
      </c>
      <c r="B122" s="4">
        <v>812836</v>
      </c>
      <c r="C122" s="4" t="s">
        <v>47</v>
      </c>
      <c r="D122" s="4" t="s">
        <v>48</v>
      </c>
      <c r="E122" s="4" t="s">
        <v>49</v>
      </c>
      <c r="F122" s="4">
        <v>211120714</v>
      </c>
      <c r="G122" s="6">
        <v>46204</v>
      </c>
      <c r="H122" s="6">
        <v>46204</v>
      </c>
      <c r="I122" s="32">
        <v>46235</v>
      </c>
      <c r="J122" s="1">
        <v>12</v>
      </c>
      <c r="K122" s="4">
        <v>500</v>
      </c>
      <c r="M122" s="4" t="s">
        <v>39</v>
      </c>
      <c r="N122" s="6">
        <v>46204</v>
      </c>
      <c r="O122" s="1">
        <v>500</v>
      </c>
      <c r="P122" s="4">
        <v>56.69</v>
      </c>
      <c r="Q122" s="4">
        <v>56.69</v>
      </c>
      <c r="R122" s="4">
        <f>IF(
    OR(Dashboard_Query[[#This Row],[Monthly Allowance]]="",Dashboard_Query[[#This Row],[Current Usage]]=""),
    "",
    MAX(0,Dashboard_Query[[#This Row],[Monthly Allowance]]-Dashboard_Query[[#This Row],[Current Usage]])
)</f>
        <v>443.31</v>
      </c>
      <c r="S122" s="9">
        <f>IF(OR(Dashboard_Query[[#This Row],[Monthly Allowance]]="",Dashboard_Query[[#This Row],[Current Usage]]=""),"",Dashboard_Query[[#This Row],[Current Usage]]/Dashboard_Query[[#This Row],[Monthly Allowance]])</f>
        <v>0.11337999999999999</v>
      </c>
      <c r="T122" s="9">
        <f>IF(Dashboard_Query[[#This Row],[% Used]]="","",1-Dashboard_Query[[#This Row],[% Used]])</f>
        <v>0.88661999999999996</v>
      </c>
      <c r="U122" s="4">
        <f>IF(OR(Dashboard_Query[[#This Row],[Monthly Allowance]]="",Dashboard_Query[[#This Row],[Current Usage]]=""),"",MAX(0,Dashboard_Query[[#This Row],[Current Usage]]-Dashboard_Query[[#This Row],[Monthly Allowance]]))</f>
        <v>0</v>
      </c>
      <c r="V122" s="4" t="str">
        <f>IF(Dashboard_Query[[#This Row],[Monthly Allowance]]="","",IF(Dashboard_Query[[#This Row],[Overage]]&gt;0,"OVER",IF(Dashboard_Query[[#This Row],[% Used]]&gt;=0.8,"WARNING","OK")))</f>
        <v>OK</v>
      </c>
      <c r="W122" s="1"/>
      <c r="X122" s="1"/>
    </row>
    <row r="123" spans="1:24">
      <c r="A123" s="4" t="s">
        <v>182</v>
      </c>
      <c r="B123" s="4">
        <v>809875</v>
      </c>
      <c r="C123" s="4" t="s">
        <v>123</v>
      </c>
      <c r="D123" s="4" t="s">
        <v>124</v>
      </c>
      <c r="E123" s="4" t="s">
        <v>125</v>
      </c>
      <c r="F123" s="4">
        <v>211121067</v>
      </c>
      <c r="G123" s="6">
        <v>46219</v>
      </c>
      <c r="H123" s="6">
        <v>46219</v>
      </c>
      <c r="I123" s="32">
        <v>46250</v>
      </c>
      <c r="J123" s="1">
        <v>27</v>
      </c>
      <c r="K123" s="4">
        <v>500</v>
      </c>
      <c r="M123" s="4" t="s">
        <v>39</v>
      </c>
      <c r="N123" s="6">
        <v>46219</v>
      </c>
      <c r="O123" s="1">
        <v>50</v>
      </c>
      <c r="P123" s="4">
        <v>0</v>
      </c>
      <c r="Q123" s="4">
        <v>0</v>
      </c>
      <c r="R123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123" s="9">
        <f>IF(OR(Dashboard_Query[[#This Row],[Monthly Allowance]]="",Dashboard_Query[[#This Row],[Current Usage]]=""),"",Dashboard_Query[[#This Row],[Current Usage]]/Dashboard_Query[[#This Row],[Monthly Allowance]])</f>
        <v>0</v>
      </c>
      <c r="T123" s="9">
        <f>IF(Dashboard_Query[[#This Row],[% Used]]="","",1-Dashboard_Query[[#This Row],[% Used]])</f>
        <v>1</v>
      </c>
      <c r="U123" s="4">
        <f>IF(OR(Dashboard_Query[[#This Row],[Monthly Allowance]]="",Dashboard_Query[[#This Row],[Current Usage]]=""),"",MAX(0,Dashboard_Query[[#This Row],[Current Usage]]-Dashboard_Query[[#This Row],[Monthly Allowance]]))</f>
        <v>0</v>
      </c>
      <c r="V123" s="4" t="str">
        <f>IF(Dashboard_Query[[#This Row],[Monthly Allowance]]="","",IF(Dashboard_Query[[#This Row],[Overage]]&gt;0,"OVER",IF(Dashboard_Query[[#This Row],[% Used]]&gt;=0.8,"WARNING","OK")))</f>
        <v>OK</v>
      </c>
      <c r="W123" s="1"/>
      <c r="X123" s="1"/>
    </row>
    <row r="124" spans="1:24">
      <c r="A124" s="4" t="s">
        <v>183</v>
      </c>
      <c r="B124" s="4">
        <v>809864</v>
      </c>
      <c r="C124" s="4" t="s">
        <v>146</v>
      </c>
      <c r="D124" s="4" t="s">
        <v>147</v>
      </c>
      <c r="E124" s="4" t="s">
        <v>148</v>
      </c>
      <c r="F124" s="4">
        <v>211121149</v>
      </c>
      <c r="G124" s="6">
        <v>46221</v>
      </c>
      <c r="H124" s="6">
        <v>46221</v>
      </c>
      <c r="I124" s="32">
        <v>46252</v>
      </c>
      <c r="J124" s="1">
        <v>29</v>
      </c>
      <c r="K124" s="4">
        <v>500</v>
      </c>
      <c r="M124" s="4" t="s">
        <v>39</v>
      </c>
      <c r="N124" s="6">
        <v>46221</v>
      </c>
      <c r="O124" s="1">
        <v>50</v>
      </c>
      <c r="P124" s="4">
        <v>0</v>
      </c>
      <c r="Q124" s="4">
        <v>0</v>
      </c>
      <c r="R124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124" s="9">
        <f>IF(OR(Dashboard_Query[[#This Row],[Monthly Allowance]]="",Dashboard_Query[[#This Row],[Current Usage]]=""),"",Dashboard_Query[[#This Row],[Current Usage]]/Dashboard_Query[[#This Row],[Monthly Allowance]])</f>
        <v>0</v>
      </c>
      <c r="T124" s="9">
        <f>IF(Dashboard_Query[[#This Row],[% Used]]="","",1-Dashboard_Query[[#This Row],[% Used]])</f>
        <v>1</v>
      </c>
      <c r="U124" s="4">
        <f>IF(OR(Dashboard_Query[[#This Row],[Monthly Allowance]]="",Dashboard_Query[[#This Row],[Current Usage]]=""),"",MAX(0,Dashboard_Query[[#This Row],[Current Usage]]-Dashboard_Query[[#This Row],[Monthly Allowance]]))</f>
        <v>0</v>
      </c>
      <c r="V124" s="4" t="str">
        <f>IF(Dashboard_Query[[#This Row],[Monthly Allowance]]="","",IF(Dashboard_Query[[#This Row],[Overage]]&gt;0,"OVER",IF(Dashboard_Query[[#This Row],[% Used]]&gt;=0.8,"WARNING","OK")))</f>
        <v>OK</v>
      </c>
      <c r="W124" s="1"/>
      <c r="X124" s="1"/>
    </row>
    <row r="125" spans="1:24">
      <c r="A125" s="4" t="s">
        <v>184</v>
      </c>
      <c r="B125" s="4">
        <v>812819</v>
      </c>
      <c r="C125" s="4" t="s">
        <v>41</v>
      </c>
      <c r="D125" s="4" t="s">
        <v>42</v>
      </c>
      <c r="E125" s="4" t="s">
        <v>43</v>
      </c>
      <c r="F125" s="4">
        <v>211120721</v>
      </c>
      <c r="G125" s="6">
        <v>46204</v>
      </c>
      <c r="H125" s="6">
        <v>46204</v>
      </c>
      <c r="I125" s="32">
        <v>46235</v>
      </c>
      <c r="J125" s="1">
        <v>12</v>
      </c>
      <c r="K125" s="4">
        <v>500</v>
      </c>
      <c r="M125" s="4" t="s">
        <v>39</v>
      </c>
      <c r="N125" s="6">
        <v>46204</v>
      </c>
      <c r="O125" s="1">
        <v>50</v>
      </c>
      <c r="P125" s="4">
        <v>51.75</v>
      </c>
      <c r="Q125" s="4">
        <v>51.75</v>
      </c>
      <c r="R125" s="4">
        <f>IF(
    OR(Dashboard_Query[[#This Row],[Monthly Allowance]]="",Dashboard_Query[[#This Row],[Current Usage]]=""),
    "",
    MAX(0,Dashboard_Query[[#This Row],[Monthly Allowance]]-Dashboard_Query[[#This Row],[Current Usage]])
)</f>
        <v>448.25</v>
      </c>
      <c r="S125" s="9">
        <f>IF(OR(Dashboard_Query[[#This Row],[Monthly Allowance]]="",Dashboard_Query[[#This Row],[Current Usage]]=""),"",Dashboard_Query[[#This Row],[Current Usage]]/Dashboard_Query[[#This Row],[Monthly Allowance]])</f>
        <v>0.10349999999999999</v>
      </c>
      <c r="T125" s="9">
        <f>IF(Dashboard_Query[[#This Row],[% Used]]="","",1-Dashboard_Query[[#This Row],[% Used]])</f>
        <v>0.89649999999999996</v>
      </c>
      <c r="U125" s="4">
        <f>IF(OR(Dashboard_Query[[#This Row],[Monthly Allowance]]="",Dashboard_Query[[#This Row],[Current Usage]]=""),"",MAX(0,Dashboard_Query[[#This Row],[Current Usage]]-Dashboard_Query[[#This Row],[Monthly Allowance]]))</f>
        <v>0</v>
      </c>
      <c r="V125" s="4" t="str">
        <f>IF(Dashboard_Query[[#This Row],[Monthly Allowance]]="","",IF(Dashboard_Query[[#This Row],[Overage]]&gt;0,"OVER",IF(Dashboard_Query[[#This Row],[% Used]]&gt;=0.8,"WARNING","OK")))</f>
        <v>OK</v>
      </c>
      <c r="W125" s="1"/>
      <c r="X125" s="1"/>
    </row>
    <row r="126" spans="1:24">
      <c r="A126" s="4" t="s">
        <v>185</v>
      </c>
      <c r="B126" s="4">
        <v>809866</v>
      </c>
      <c r="C126" s="4" t="s">
        <v>123</v>
      </c>
      <c r="D126" s="4" t="s">
        <v>124</v>
      </c>
      <c r="E126" s="4" t="s">
        <v>125</v>
      </c>
      <c r="F126" s="4">
        <v>211121067</v>
      </c>
      <c r="G126" s="6">
        <v>46219</v>
      </c>
      <c r="H126" s="6">
        <v>46219</v>
      </c>
      <c r="I126" s="32">
        <v>46250</v>
      </c>
      <c r="J126" s="1">
        <v>27</v>
      </c>
      <c r="K126" s="4">
        <v>500</v>
      </c>
      <c r="M126" s="4" t="s">
        <v>39</v>
      </c>
      <c r="N126" s="6">
        <v>46219</v>
      </c>
      <c r="O126" s="1">
        <v>50</v>
      </c>
      <c r="P126" s="4">
        <v>0</v>
      </c>
      <c r="Q126" s="4">
        <v>0</v>
      </c>
      <c r="R126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126" s="9">
        <f>IF(OR(Dashboard_Query[[#This Row],[Monthly Allowance]]="",Dashboard_Query[[#This Row],[Current Usage]]=""),"",Dashboard_Query[[#This Row],[Current Usage]]/Dashboard_Query[[#This Row],[Monthly Allowance]])</f>
        <v>0</v>
      </c>
      <c r="T126" s="9">
        <f>IF(Dashboard_Query[[#This Row],[% Used]]="","",1-Dashboard_Query[[#This Row],[% Used]])</f>
        <v>1</v>
      </c>
      <c r="U126" s="4">
        <f>IF(OR(Dashboard_Query[[#This Row],[Monthly Allowance]]="",Dashboard_Query[[#This Row],[Current Usage]]=""),"",MAX(0,Dashboard_Query[[#This Row],[Current Usage]]-Dashboard_Query[[#This Row],[Monthly Allowance]]))</f>
        <v>0</v>
      </c>
      <c r="V126" s="4" t="str">
        <f>IF(Dashboard_Query[[#This Row],[Monthly Allowance]]="","",IF(Dashboard_Query[[#This Row],[Overage]]&gt;0,"OVER",IF(Dashboard_Query[[#This Row],[% Used]]&gt;=0.8,"WARNING","OK")))</f>
        <v>OK</v>
      </c>
      <c r="W126" s="1"/>
      <c r="X126" s="1"/>
    </row>
    <row r="127" spans="1:24">
      <c r="A127" s="4" t="s">
        <v>186</v>
      </c>
      <c r="B127" s="4">
        <v>809869</v>
      </c>
      <c r="C127" s="4" t="s">
        <v>123</v>
      </c>
      <c r="D127" s="4" t="s">
        <v>124</v>
      </c>
      <c r="E127" s="4" t="s">
        <v>125</v>
      </c>
      <c r="F127" s="4">
        <v>211121067</v>
      </c>
      <c r="G127" s="6">
        <v>46219</v>
      </c>
      <c r="H127" s="6">
        <v>46219</v>
      </c>
      <c r="I127" s="32">
        <v>46250</v>
      </c>
      <c r="J127" s="1">
        <v>27</v>
      </c>
      <c r="K127" s="4">
        <v>500</v>
      </c>
      <c r="M127" s="4" t="s">
        <v>39</v>
      </c>
      <c r="N127" s="6">
        <v>46219</v>
      </c>
      <c r="O127" s="1">
        <v>50</v>
      </c>
      <c r="P127" s="4">
        <v>0</v>
      </c>
      <c r="Q127" s="4">
        <v>0</v>
      </c>
      <c r="R127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127" s="9">
        <f>IF(OR(Dashboard_Query[[#This Row],[Monthly Allowance]]="",Dashboard_Query[[#This Row],[Current Usage]]=""),"",Dashboard_Query[[#This Row],[Current Usage]]/Dashboard_Query[[#This Row],[Monthly Allowance]])</f>
        <v>0</v>
      </c>
      <c r="T127" s="9">
        <f>IF(Dashboard_Query[[#This Row],[% Used]]="","",1-Dashboard_Query[[#This Row],[% Used]])</f>
        <v>1</v>
      </c>
      <c r="U127" s="4">
        <f>IF(OR(Dashboard_Query[[#This Row],[Monthly Allowance]]="",Dashboard_Query[[#This Row],[Current Usage]]=""),"",MAX(0,Dashboard_Query[[#This Row],[Current Usage]]-Dashboard_Query[[#This Row],[Monthly Allowance]]))</f>
        <v>0</v>
      </c>
      <c r="V127" s="4" t="str">
        <f>IF(Dashboard_Query[[#This Row],[Monthly Allowance]]="","",IF(Dashboard_Query[[#This Row],[Overage]]&gt;0,"OVER",IF(Dashboard_Query[[#This Row],[% Used]]&gt;=0.8,"WARNING","OK")))</f>
        <v>OK</v>
      </c>
      <c r="W127" s="1"/>
      <c r="X127" s="1"/>
    </row>
    <row r="128" spans="1:24">
      <c r="A128" s="4" t="s">
        <v>187</v>
      </c>
      <c r="B128" s="4">
        <v>812794</v>
      </c>
      <c r="C128" s="4" t="s">
        <v>47</v>
      </c>
      <c r="D128" s="4" t="s">
        <v>48</v>
      </c>
      <c r="E128" s="4" t="s">
        <v>49</v>
      </c>
      <c r="F128" s="4">
        <v>211120714</v>
      </c>
      <c r="G128" s="6">
        <v>46204</v>
      </c>
      <c r="H128" s="6">
        <v>46204</v>
      </c>
      <c r="I128" s="32">
        <v>46235</v>
      </c>
      <c r="J128" s="1">
        <v>12</v>
      </c>
      <c r="K128" s="4">
        <v>500</v>
      </c>
      <c r="M128" s="4" t="s">
        <v>39</v>
      </c>
      <c r="N128" s="6">
        <v>46204</v>
      </c>
      <c r="O128" s="1">
        <v>50</v>
      </c>
      <c r="P128" s="4">
        <v>51.61</v>
      </c>
      <c r="Q128" s="4">
        <v>51.61</v>
      </c>
      <c r="R128" s="4">
        <f>IF(
    OR(Dashboard_Query[[#This Row],[Monthly Allowance]]="",Dashboard_Query[[#This Row],[Current Usage]]=""),
    "",
    MAX(0,Dashboard_Query[[#This Row],[Monthly Allowance]]-Dashboard_Query[[#This Row],[Current Usage]])
)</f>
        <v>448.39</v>
      </c>
      <c r="S128" s="9">
        <f>IF(OR(Dashboard_Query[[#This Row],[Monthly Allowance]]="",Dashboard_Query[[#This Row],[Current Usage]]=""),"",Dashboard_Query[[#This Row],[Current Usage]]/Dashboard_Query[[#This Row],[Monthly Allowance]])</f>
        <v>0.10321999999999999</v>
      </c>
      <c r="T128" s="9">
        <f>IF(Dashboard_Query[[#This Row],[% Used]]="","",1-Dashboard_Query[[#This Row],[% Used]])</f>
        <v>0.89678000000000002</v>
      </c>
      <c r="U128" s="4">
        <f>IF(OR(Dashboard_Query[[#This Row],[Monthly Allowance]]="",Dashboard_Query[[#This Row],[Current Usage]]=""),"",MAX(0,Dashboard_Query[[#This Row],[Current Usage]]-Dashboard_Query[[#This Row],[Monthly Allowance]]))</f>
        <v>0</v>
      </c>
      <c r="V128" s="4" t="str">
        <f>IF(Dashboard_Query[[#This Row],[Monthly Allowance]]="","",IF(Dashboard_Query[[#This Row],[Overage]]&gt;0,"OVER",IF(Dashboard_Query[[#This Row],[% Used]]&gt;=0.8,"WARNING","OK")))</f>
        <v>OK</v>
      </c>
      <c r="W128" s="1"/>
      <c r="X128" s="1"/>
    </row>
    <row r="129" spans="1:24">
      <c r="A129" s="4" t="s">
        <v>188</v>
      </c>
      <c r="B129" s="4">
        <v>809868</v>
      </c>
      <c r="C129" s="4" t="s">
        <v>146</v>
      </c>
      <c r="D129" s="4" t="s">
        <v>147</v>
      </c>
      <c r="E129" s="4" t="s">
        <v>148</v>
      </c>
      <c r="F129" s="4">
        <v>211121149</v>
      </c>
      <c r="G129" s="6">
        <v>46221</v>
      </c>
      <c r="H129" s="6">
        <v>46221</v>
      </c>
      <c r="I129" s="32">
        <v>46252</v>
      </c>
      <c r="J129" s="1">
        <v>29</v>
      </c>
      <c r="K129" s="4">
        <v>500</v>
      </c>
      <c r="M129" s="4" t="s">
        <v>39</v>
      </c>
      <c r="N129" s="6">
        <v>46221</v>
      </c>
      <c r="O129" s="1">
        <v>50</v>
      </c>
      <c r="P129" s="4">
        <v>0.37</v>
      </c>
      <c r="Q129" s="4">
        <v>0.37</v>
      </c>
      <c r="R129" s="4">
        <f>IF(
    OR(Dashboard_Query[[#This Row],[Monthly Allowance]]="",Dashboard_Query[[#This Row],[Current Usage]]=""),
    "",
    MAX(0,Dashboard_Query[[#This Row],[Monthly Allowance]]-Dashboard_Query[[#This Row],[Current Usage]])
)</f>
        <v>499.63</v>
      </c>
      <c r="S129" s="9">
        <f>IF(OR(Dashboard_Query[[#This Row],[Monthly Allowance]]="",Dashboard_Query[[#This Row],[Current Usage]]=""),"",Dashboard_Query[[#This Row],[Current Usage]]/Dashboard_Query[[#This Row],[Monthly Allowance]])</f>
        <v>7.3999999999999999E-4</v>
      </c>
      <c r="T129" s="9">
        <f>IF(Dashboard_Query[[#This Row],[% Used]]="","",1-Dashboard_Query[[#This Row],[% Used]])</f>
        <v>0.99926000000000004</v>
      </c>
      <c r="U129" s="4">
        <f>IF(OR(Dashboard_Query[[#This Row],[Monthly Allowance]]="",Dashboard_Query[[#This Row],[Current Usage]]=""),"",MAX(0,Dashboard_Query[[#This Row],[Current Usage]]-Dashboard_Query[[#This Row],[Monthly Allowance]]))</f>
        <v>0</v>
      </c>
      <c r="V129" s="4" t="str">
        <f>IF(Dashboard_Query[[#This Row],[Monthly Allowance]]="","",IF(Dashboard_Query[[#This Row],[Overage]]&gt;0,"OVER",IF(Dashboard_Query[[#This Row],[% Used]]&gt;=0.8,"WARNING","OK")))</f>
        <v>OK</v>
      </c>
      <c r="W129" s="1"/>
      <c r="X129" s="1"/>
    </row>
    <row r="130" spans="1:24">
      <c r="A130" s="4" t="s">
        <v>189</v>
      </c>
      <c r="B130" s="4">
        <v>809870</v>
      </c>
      <c r="C130" s="4" t="s">
        <v>146</v>
      </c>
      <c r="D130" s="4" t="s">
        <v>147</v>
      </c>
      <c r="E130" s="4" t="s">
        <v>148</v>
      </c>
      <c r="F130" s="4">
        <v>211121149</v>
      </c>
      <c r="G130" s="6">
        <v>46221</v>
      </c>
      <c r="H130" s="6">
        <v>46221</v>
      </c>
      <c r="I130" s="32">
        <v>46252</v>
      </c>
      <c r="J130" s="1">
        <v>29</v>
      </c>
      <c r="K130" s="4">
        <v>500</v>
      </c>
      <c r="M130" s="4" t="s">
        <v>39</v>
      </c>
      <c r="N130" s="6">
        <v>46221</v>
      </c>
      <c r="O130" s="1">
        <v>50</v>
      </c>
      <c r="P130" s="4">
        <v>0</v>
      </c>
      <c r="Q130" s="4">
        <v>0</v>
      </c>
      <c r="R130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130" s="9">
        <f>IF(OR(Dashboard_Query[[#This Row],[Monthly Allowance]]="",Dashboard_Query[[#This Row],[Current Usage]]=""),"",Dashboard_Query[[#This Row],[Current Usage]]/Dashboard_Query[[#This Row],[Monthly Allowance]])</f>
        <v>0</v>
      </c>
      <c r="T130" s="9">
        <f>IF(Dashboard_Query[[#This Row],[% Used]]="","",1-Dashboard_Query[[#This Row],[% Used]])</f>
        <v>1</v>
      </c>
      <c r="U130" s="4">
        <f>IF(OR(Dashboard_Query[[#This Row],[Monthly Allowance]]="",Dashboard_Query[[#This Row],[Current Usage]]=""),"",MAX(0,Dashboard_Query[[#This Row],[Current Usage]]-Dashboard_Query[[#This Row],[Monthly Allowance]]))</f>
        <v>0</v>
      </c>
      <c r="V130" s="4" t="str">
        <f>IF(Dashboard_Query[[#This Row],[Monthly Allowance]]="","",IF(Dashboard_Query[[#This Row],[Overage]]&gt;0,"OVER",IF(Dashboard_Query[[#This Row],[% Used]]&gt;=0.8,"WARNING","OK")))</f>
        <v>OK</v>
      </c>
      <c r="W130" s="1"/>
      <c r="X130" s="1"/>
    </row>
    <row r="131" spans="1:24">
      <c r="A131" s="4" t="s">
        <v>190</v>
      </c>
      <c r="B131" s="4">
        <v>812847</v>
      </c>
      <c r="C131" s="4" t="s">
        <v>47</v>
      </c>
      <c r="D131" s="4" t="s">
        <v>48</v>
      </c>
      <c r="E131" s="4" t="s">
        <v>49</v>
      </c>
      <c r="F131" s="4">
        <v>211120714</v>
      </c>
      <c r="G131" s="6">
        <v>46204</v>
      </c>
      <c r="H131" s="6">
        <v>46204</v>
      </c>
      <c r="I131" s="32">
        <v>46235</v>
      </c>
      <c r="J131" s="1">
        <v>12</v>
      </c>
      <c r="K131" s="4">
        <v>500</v>
      </c>
      <c r="M131" s="4" t="s">
        <v>39</v>
      </c>
      <c r="N131" s="6">
        <v>46204</v>
      </c>
      <c r="O131" s="1">
        <v>500</v>
      </c>
      <c r="P131" s="4">
        <v>40.57</v>
      </c>
      <c r="Q131" s="4">
        <v>40.57</v>
      </c>
      <c r="R131" s="4">
        <f>IF(
    OR(Dashboard_Query[[#This Row],[Monthly Allowance]]="",Dashboard_Query[[#This Row],[Current Usage]]=""),
    "",
    MAX(0,Dashboard_Query[[#This Row],[Monthly Allowance]]-Dashboard_Query[[#This Row],[Current Usage]])
)</f>
        <v>459.43</v>
      </c>
      <c r="S131" s="9">
        <f>IF(OR(Dashboard_Query[[#This Row],[Monthly Allowance]]="",Dashboard_Query[[#This Row],[Current Usage]]=""),"",Dashboard_Query[[#This Row],[Current Usage]]/Dashboard_Query[[#This Row],[Monthly Allowance]])</f>
        <v>8.1140000000000004E-2</v>
      </c>
      <c r="T131" s="9">
        <f>IF(Dashboard_Query[[#This Row],[% Used]]="","",1-Dashboard_Query[[#This Row],[% Used]])</f>
        <v>0.91886000000000001</v>
      </c>
      <c r="U131" s="4">
        <f>IF(OR(Dashboard_Query[[#This Row],[Monthly Allowance]]="",Dashboard_Query[[#This Row],[Current Usage]]=""),"",MAX(0,Dashboard_Query[[#This Row],[Current Usage]]-Dashboard_Query[[#This Row],[Monthly Allowance]]))</f>
        <v>0</v>
      </c>
      <c r="V131" s="4" t="str">
        <f>IF(Dashboard_Query[[#This Row],[Monthly Allowance]]="","",IF(Dashboard_Query[[#This Row],[Overage]]&gt;0,"OVER",IF(Dashboard_Query[[#This Row],[% Used]]&gt;=0.8,"WARNING","OK")))</f>
        <v>OK</v>
      </c>
      <c r="W131" s="1"/>
      <c r="X131" s="1"/>
    </row>
    <row r="132" spans="1:24">
      <c r="A132" s="4" t="s">
        <v>191</v>
      </c>
      <c r="B132" s="4">
        <v>809871</v>
      </c>
      <c r="C132" s="4" t="s">
        <v>146</v>
      </c>
      <c r="D132" s="4" t="s">
        <v>147</v>
      </c>
      <c r="E132" s="4" t="s">
        <v>148</v>
      </c>
      <c r="F132" s="4">
        <v>211121149</v>
      </c>
      <c r="G132" s="6">
        <v>46221</v>
      </c>
      <c r="H132" s="6">
        <v>46221</v>
      </c>
      <c r="I132" s="32">
        <v>46252</v>
      </c>
      <c r="J132" s="1">
        <v>29</v>
      </c>
      <c r="K132" s="4">
        <v>500</v>
      </c>
      <c r="M132" s="4" t="s">
        <v>39</v>
      </c>
      <c r="N132" s="6">
        <v>46221</v>
      </c>
      <c r="O132" s="1">
        <v>50</v>
      </c>
      <c r="P132" s="4">
        <v>0</v>
      </c>
      <c r="Q132" s="4">
        <v>0</v>
      </c>
      <c r="R132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132" s="9">
        <f>IF(OR(Dashboard_Query[[#This Row],[Monthly Allowance]]="",Dashboard_Query[[#This Row],[Current Usage]]=""),"",Dashboard_Query[[#This Row],[Current Usage]]/Dashboard_Query[[#This Row],[Monthly Allowance]])</f>
        <v>0</v>
      </c>
      <c r="T132" s="9">
        <f>IF(Dashboard_Query[[#This Row],[% Used]]="","",1-Dashboard_Query[[#This Row],[% Used]])</f>
        <v>1</v>
      </c>
      <c r="U132" s="4">
        <f>IF(OR(Dashboard_Query[[#This Row],[Monthly Allowance]]="",Dashboard_Query[[#This Row],[Current Usage]]=""),"",MAX(0,Dashboard_Query[[#This Row],[Current Usage]]-Dashboard_Query[[#This Row],[Monthly Allowance]]))</f>
        <v>0</v>
      </c>
      <c r="V132" s="4" t="str">
        <f>IF(Dashboard_Query[[#This Row],[Monthly Allowance]]="","",IF(Dashboard_Query[[#This Row],[Overage]]&gt;0,"OVER",IF(Dashboard_Query[[#This Row],[% Used]]&gt;=0.8,"WARNING","OK")))</f>
        <v>OK</v>
      </c>
      <c r="W132" s="1"/>
      <c r="X132" s="1"/>
    </row>
    <row r="133" spans="1:24">
      <c r="A133" s="4" t="s">
        <v>192</v>
      </c>
      <c r="B133" s="4">
        <v>809872</v>
      </c>
      <c r="C133" s="4" t="s">
        <v>146</v>
      </c>
      <c r="D133" s="4" t="s">
        <v>147</v>
      </c>
      <c r="E133" s="4" t="s">
        <v>148</v>
      </c>
      <c r="F133" s="4">
        <v>211121149</v>
      </c>
      <c r="G133" s="6">
        <v>46221</v>
      </c>
      <c r="H133" s="6">
        <v>46221</v>
      </c>
      <c r="I133" s="32">
        <v>46252</v>
      </c>
      <c r="J133" s="1">
        <v>29</v>
      </c>
      <c r="K133" s="4">
        <v>500</v>
      </c>
      <c r="M133" s="4" t="s">
        <v>39</v>
      </c>
      <c r="N133" s="6">
        <v>46221</v>
      </c>
      <c r="O133" s="1">
        <v>50</v>
      </c>
      <c r="P133" s="4">
        <v>0.05</v>
      </c>
      <c r="Q133" s="4">
        <v>0.05</v>
      </c>
      <c r="R133" s="4">
        <f>IF(
    OR(Dashboard_Query[[#This Row],[Monthly Allowance]]="",Dashboard_Query[[#This Row],[Current Usage]]=""),
    "",
    MAX(0,Dashboard_Query[[#This Row],[Monthly Allowance]]-Dashboard_Query[[#This Row],[Current Usage]])
)</f>
        <v>499.95</v>
      </c>
      <c r="S133" s="9">
        <f>IF(OR(Dashboard_Query[[#This Row],[Monthly Allowance]]="",Dashboard_Query[[#This Row],[Current Usage]]=""),"",Dashboard_Query[[#This Row],[Current Usage]]/Dashboard_Query[[#This Row],[Monthly Allowance]])</f>
        <v>1E-4</v>
      </c>
      <c r="T133" s="9">
        <f>IF(Dashboard_Query[[#This Row],[% Used]]="","",1-Dashboard_Query[[#This Row],[% Used]])</f>
        <v>0.99990000000000001</v>
      </c>
      <c r="U133" s="4">
        <f>IF(OR(Dashboard_Query[[#This Row],[Monthly Allowance]]="",Dashboard_Query[[#This Row],[Current Usage]]=""),"",MAX(0,Dashboard_Query[[#This Row],[Current Usage]]-Dashboard_Query[[#This Row],[Monthly Allowance]]))</f>
        <v>0</v>
      </c>
      <c r="V133" s="4" t="str">
        <f>IF(Dashboard_Query[[#This Row],[Monthly Allowance]]="","",IF(Dashboard_Query[[#This Row],[Overage]]&gt;0,"OVER",IF(Dashboard_Query[[#This Row],[% Used]]&gt;=0.8,"WARNING","OK")))</f>
        <v>OK</v>
      </c>
      <c r="W133" s="1"/>
      <c r="X133" s="1"/>
    </row>
    <row r="134" spans="1:24">
      <c r="A134" s="4" t="s">
        <v>193</v>
      </c>
      <c r="B134" s="4">
        <v>812833</v>
      </c>
      <c r="C134" s="4" t="s">
        <v>41</v>
      </c>
      <c r="D134" s="4" t="s">
        <v>42</v>
      </c>
      <c r="E134" s="4" t="s">
        <v>43</v>
      </c>
      <c r="F134" s="4">
        <v>211120721</v>
      </c>
      <c r="G134" s="6">
        <v>46204</v>
      </c>
      <c r="H134" s="6">
        <v>46204</v>
      </c>
      <c r="I134" s="32">
        <v>46235</v>
      </c>
      <c r="J134" s="1">
        <v>12</v>
      </c>
      <c r="K134" s="4">
        <v>500</v>
      </c>
      <c r="M134" s="4" t="s">
        <v>39</v>
      </c>
      <c r="N134" s="6">
        <v>46204</v>
      </c>
      <c r="O134" s="1">
        <v>500</v>
      </c>
      <c r="P134" s="4">
        <v>39.79</v>
      </c>
      <c r="Q134" s="4">
        <v>39.79</v>
      </c>
      <c r="R134" s="4">
        <f>IF(
    OR(Dashboard_Query[[#This Row],[Monthly Allowance]]="",Dashboard_Query[[#This Row],[Current Usage]]=""),
    "",
    MAX(0,Dashboard_Query[[#This Row],[Monthly Allowance]]-Dashboard_Query[[#This Row],[Current Usage]])
)</f>
        <v>460.21</v>
      </c>
      <c r="S134" s="9">
        <f>IF(OR(Dashboard_Query[[#This Row],[Monthly Allowance]]="",Dashboard_Query[[#This Row],[Current Usage]]=""),"",Dashboard_Query[[#This Row],[Current Usage]]/Dashboard_Query[[#This Row],[Monthly Allowance]])</f>
        <v>7.9579999999999998E-2</v>
      </c>
      <c r="T134" s="9">
        <f>IF(Dashboard_Query[[#This Row],[% Used]]="","",1-Dashboard_Query[[#This Row],[% Used]])</f>
        <v>0.92042000000000002</v>
      </c>
      <c r="U134" s="4">
        <f>IF(OR(Dashboard_Query[[#This Row],[Monthly Allowance]]="",Dashboard_Query[[#This Row],[Current Usage]]=""),"",MAX(0,Dashboard_Query[[#This Row],[Current Usage]]-Dashboard_Query[[#This Row],[Monthly Allowance]]))</f>
        <v>0</v>
      </c>
      <c r="V134" s="4" t="str">
        <f>IF(Dashboard_Query[[#This Row],[Monthly Allowance]]="","",IF(Dashboard_Query[[#This Row],[Overage]]&gt;0,"OVER",IF(Dashboard_Query[[#This Row],[% Used]]&gt;=0.8,"WARNING","OK")))</f>
        <v>OK</v>
      </c>
      <c r="W134" s="1"/>
      <c r="X134" s="1"/>
    </row>
    <row r="135" spans="1:24">
      <c r="A135" s="4" t="s">
        <v>194</v>
      </c>
      <c r="B135" s="4">
        <v>809873</v>
      </c>
      <c r="C135" s="4" t="s">
        <v>146</v>
      </c>
      <c r="D135" s="4" t="s">
        <v>147</v>
      </c>
      <c r="E135" s="4" t="s">
        <v>148</v>
      </c>
      <c r="F135" s="4">
        <v>211121149</v>
      </c>
      <c r="G135" s="6">
        <v>46221</v>
      </c>
      <c r="H135" s="6">
        <v>46221</v>
      </c>
      <c r="I135" s="32">
        <v>46252</v>
      </c>
      <c r="J135" s="1">
        <v>29</v>
      </c>
      <c r="K135" s="4">
        <v>500</v>
      </c>
      <c r="M135" s="4" t="s">
        <v>39</v>
      </c>
      <c r="N135" s="6">
        <v>46221</v>
      </c>
      <c r="O135" s="1">
        <v>50</v>
      </c>
      <c r="P135" s="4">
        <v>0</v>
      </c>
      <c r="Q135" s="4">
        <v>0</v>
      </c>
      <c r="R135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135" s="9">
        <f>IF(OR(Dashboard_Query[[#This Row],[Monthly Allowance]]="",Dashboard_Query[[#This Row],[Current Usage]]=""),"",Dashboard_Query[[#This Row],[Current Usage]]/Dashboard_Query[[#This Row],[Monthly Allowance]])</f>
        <v>0</v>
      </c>
      <c r="T135" s="9">
        <f>IF(Dashboard_Query[[#This Row],[% Used]]="","",1-Dashboard_Query[[#This Row],[% Used]])</f>
        <v>1</v>
      </c>
      <c r="U135" s="4">
        <f>IF(OR(Dashboard_Query[[#This Row],[Monthly Allowance]]="",Dashboard_Query[[#This Row],[Current Usage]]=""),"",MAX(0,Dashboard_Query[[#This Row],[Current Usage]]-Dashboard_Query[[#This Row],[Monthly Allowance]]))</f>
        <v>0</v>
      </c>
      <c r="V135" s="4" t="str">
        <f>IF(Dashboard_Query[[#This Row],[Monthly Allowance]]="","",IF(Dashboard_Query[[#This Row],[Overage]]&gt;0,"OVER",IF(Dashboard_Query[[#This Row],[% Used]]&gt;=0.8,"WARNING","OK")))</f>
        <v>OK</v>
      </c>
      <c r="W135" s="1"/>
      <c r="X135" s="1"/>
    </row>
    <row r="136" spans="1:24">
      <c r="A136" s="4" t="s">
        <v>195</v>
      </c>
      <c r="B136" s="4">
        <v>809874</v>
      </c>
      <c r="C136" s="4" t="s">
        <v>146</v>
      </c>
      <c r="D136" s="4" t="s">
        <v>147</v>
      </c>
      <c r="E136" s="4" t="s">
        <v>148</v>
      </c>
      <c r="F136" s="4">
        <v>211121149</v>
      </c>
      <c r="G136" s="6">
        <v>46221</v>
      </c>
      <c r="H136" s="6">
        <v>46221</v>
      </c>
      <c r="I136" s="32">
        <v>46252</v>
      </c>
      <c r="J136" s="1">
        <v>29</v>
      </c>
      <c r="K136" s="4">
        <v>500</v>
      </c>
      <c r="M136" s="4" t="s">
        <v>39</v>
      </c>
      <c r="N136" s="6">
        <v>46221</v>
      </c>
      <c r="O136" s="1">
        <v>50</v>
      </c>
      <c r="P136" s="4">
        <v>0</v>
      </c>
      <c r="Q136" s="4">
        <v>0</v>
      </c>
      <c r="R136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136" s="9">
        <f>IF(OR(Dashboard_Query[[#This Row],[Monthly Allowance]]="",Dashboard_Query[[#This Row],[Current Usage]]=""),"",Dashboard_Query[[#This Row],[Current Usage]]/Dashboard_Query[[#This Row],[Monthly Allowance]])</f>
        <v>0</v>
      </c>
      <c r="T136" s="9">
        <f>IF(Dashboard_Query[[#This Row],[% Used]]="","",1-Dashboard_Query[[#This Row],[% Used]])</f>
        <v>1</v>
      </c>
      <c r="U136" s="4">
        <f>IF(OR(Dashboard_Query[[#This Row],[Monthly Allowance]]="",Dashboard_Query[[#This Row],[Current Usage]]=""),"",MAX(0,Dashboard_Query[[#This Row],[Current Usage]]-Dashboard_Query[[#This Row],[Monthly Allowance]]))</f>
        <v>0</v>
      </c>
      <c r="V136" s="4" t="str">
        <f>IF(Dashboard_Query[[#This Row],[Monthly Allowance]]="","",IF(Dashboard_Query[[#This Row],[Overage]]&gt;0,"OVER",IF(Dashboard_Query[[#This Row],[% Used]]&gt;=0.8,"WARNING","OK")))</f>
        <v>OK</v>
      </c>
      <c r="W136" s="1"/>
      <c r="X136" s="1"/>
    </row>
    <row r="137" spans="1:24">
      <c r="A137" s="4" t="s">
        <v>196</v>
      </c>
      <c r="B137" s="4">
        <v>812840</v>
      </c>
      <c r="C137" s="4" t="s">
        <v>47</v>
      </c>
      <c r="D137" s="4" t="s">
        <v>48</v>
      </c>
      <c r="E137" s="4" t="s">
        <v>49</v>
      </c>
      <c r="F137" s="4">
        <v>211120714</v>
      </c>
      <c r="G137" s="6">
        <v>46204</v>
      </c>
      <c r="H137" s="6">
        <v>46204</v>
      </c>
      <c r="I137" s="32">
        <v>46235</v>
      </c>
      <c r="J137" s="1">
        <v>12</v>
      </c>
      <c r="K137" s="4">
        <v>500</v>
      </c>
      <c r="M137" s="4" t="s">
        <v>39</v>
      </c>
      <c r="N137" s="6">
        <v>46204</v>
      </c>
      <c r="O137" s="1">
        <v>50</v>
      </c>
      <c r="P137" s="4">
        <v>38.18</v>
      </c>
      <c r="Q137" s="4">
        <v>38.18</v>
      </c>
      <c r="R137" s="4">
        <f>IF(
    OR(Dashboard_Query[[#This Row],[Monthly Allowance]]="",Dashboard_Query[[#This Row],[Current Usage]]=""),
    "",
    MAX(0,Dashboard_Query[[#This Row],[Monthly Allowance]]-Dashboard_Query[[#This Row],[Current Usage]])
)</f>
        <v>461.82</v>
      </c>
      <c r="S137" s="9">
        <f>IF(OR(Dashboard_Query[[#This Row],[Monthly Allowance]]="",Dashboard_Query[[#This Row],[Current Usage]]=""),"",Dashboard_Query[[#This Row],[Current Usage]]/Dashboard_Query[[#This Row],[Monthly Allowance]])</f>
        <v>7.6359999999999997E-2</v>
      </c>
      <c r="T137" s="9">
        <f>IF(Dashboard_Query[[#This Row],[% Used]]="","",1-Dashboard_Query[[#This Row],[% Used]])</f>
        <v>0.92364000000000002</v>
      </c>
      <c r="U137" s="4">
        <f>IF(OR(Dashboard_Query[[#This Row],[Monthly Allowance]]="",Dashboard_Query[[#This Row],[Current Usage]]=""),"",MAX(0,Dashboard_Query[[#This Row],[Current Usage]]-Dashboard_Query[[#This Row],[Monthly Allowance]]))</f>
        <v>0</v>
      </c>
      <c r="V137" s="4" t="str">
        <f>IF(Dashboard_Query[[#This Row],[Monthly Allowance]]="","",IF(Dashboard_Query[[#This Row],[Overage]]&gt;0,"OVER",IF(Dashboard_Query[[#This Row],[% Used]]&gt;=0.8,"WARNING","OK")))</f>
        <v>OK</v>
      </c>
      <c r="W137" s="1"/>
      <c r="X137" s="1"/>
    </row>
    <row r="138" spans="1:24">
      <c r="A138" s="4" t="s">
        <v>197</v>
      </c>
      <c r="B138" s="4">
        <v>809876</v>
      </c>
      <c r="C138" s="4" t="s">
        <v>198</v>
      </c>
      <c r="D138" s="4" t="s">
        <v>108</v>
      </c>
      <c r="E138" s="4" t="s">
        <v>109</v>
      </c>
      <c r="F138" s="4">
        <v>211120839</v>
      </c>
      <c r="G138" s="6">
        <v>46210</v>
      </c>
      <c r="H138" s="6">
        <v>46210</v>
      </c>
      <c r="I138" s="32">
        <v>46241</v>
      </c>
      <c r="J138" s="1">
        <v>18</v>
      </c>
      <c r="K138" s="4">
        <v>500</v>
      </c>
      <c r="M138" s="4" t="s">
        <v>39</v>
      </c>
      <c r="N138" s="6">
        <v>46210</v>
      </c>
      <c r="O138" s="1">
        <v>50</v>
      </c>
      <c r="P138" s="4">
        <v>0</v>
      </c>
      <c r="Q138" s="4">
        <v>0</v>
      </c>
      <c r="R138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138" s="9">
        <f>IF(OR(Dashboard_Query[[#This Row],[Monthly Allowance]]="",Dashboard_Query[[#This Row],[Current Usage]]=""),"",Dashboard_Query[[#This Row],[Current Usage]]/Dashboard_Query[[#This Row],[Monthly Allowance]])</f>
        <v>0</v>
      </c>
      <c r="T138" s="9">
        <f>IF(Dashboard_Query[[#This Row],[% Used]]="","",1-Dashboard_Query[[#This Row],[% Used]])</f>
        <v>1</v>
      </c>
      <c r="U138" s="4">
        <f>IF(OR(Dashboard_Query[[#This Row],[Monthly Allowance]]="",Dashboard_Query[[#This Row],[Current Usage]]=""),"",MAX(0,Dashboard_Query[[#This Row],[Current Usage]]-Dashboard_Query[[#This Row],[Monthly Allowance]]))</f>
        <v>0</v>
      </c>
      <c r="V138" s="4" t="str">
        <f>IF(Dashboard_Query[[#This Row],[Monthly Allowance]]="","",IF(Dashboard_Query[[#This Row],[Overage]]&gt;0,"OVER",IF(Dashboard_Query[[#This Row],[% Used]]&gt;=0.8,"WARNING","OK")))</f>
        <v>OK</v>
      </c>
      <c r="W138" s="1"/>
      <c r="X138" s="1"/>
    </row>
    <row r="139" spans="1:24">
      <c r="A139" s="4" t="s">
        <v>199</v>
      </c>
      <c r="B139" s="4">
        <v>812797</v>
      </c>
      <c r="C139" s="4" t="s">
        <v>47</v>
      </c>
      <c r="D139" s="4" t="s">
        <v>48</v>
      </c>
      <c r="E139" s="4" t="s">
        <v>49</v>
      </c>
      <c r="F139" s="4">
        <v>211120714</v>
      </c>
      <c r="G139" s="6">
        <v>46204</v>
      </c>
      <c r="H139" s="6">
        <v>46204</v>
      </c>
      <c r="I139" s="32">
        <v>46235</v>
      </c>
      <c r="J139" s="1">
        <v>12</v>
      </c>
      <c r="K139" s="4">
        <v>500</v>
      </c>
      <c r="M139" s="4" t="s">
        <v>39</v>
      </c>
      <c r="N139" s="6">
        <v>46204</v>
      </c>
      <c r="O139" s="1">
        <v>50</v>
      </c>
      <c r="P139" s="4">
        <v>34.11</v>
      </c>
      <c r="Q139" s="4">
        <v>34.11</v>
      </c>
      <c r="R139" s="4">
        <f>IF(
    OR(Dashboard_Query[[#This Row],[Monthly Allowance]]="",Dashboard_Query[[#This Row],[Current Usage]]=""),
    "",
    MAX(0,Dashboard_Query[[#This Row],[Monthly Allowance]]-Dashboard_Query[[#This Row],[Current Usage]])
)</f>
        <v>465.89</v>
      </c>
      <c r="S139" s="9">
        <f>IF(OR(Dashboard_Query[[#This Row],[Monthly Allowance]]="",Dashboard_Query[[#This Row],[Current Usage]]=""),"",Dashboard_Query[[#This Row],[Current Usage]]/Dashboard_Query[[#This Row],[Monthly Allowance]])</f>
        <v>6.8220000000000003E-2</v>
      </c>
      <c r="T139" s="9">
        <f>IF(Dashboard_Query[[#This Row],[% Used]]="","",1-Dashboard_Query[[#This Row],[% Used]])</f>
        <v>0.93178000000000005</v>
      </c>
      <c r="U139" s="4">
        <f>IF(OR(Dashboard_Query[[#This Row],[Monthly Allowance]]="",Dashboard_Query[[#This Row],[Current Usage]]=""),"",MAX(0,Dashboard_Query[[#This Row],[Current Usage]]-Dashboard_Query[[#This Row],[Monthly Allowance]]))</f>
        <v>0</v>
      </c>
      <c r="V139" s="4" t="str">
        <f>IF(Dashboard_Query[[#This Row],[Monthly Allowance]]="","",IF(Dashboard_Query[[#This Row],[Overage]]&gt;0,"OVER",IF(Dashboard_Query[[#This Row],[% Used]]&gt;=0.8,"WARNING","OK")))</f>
        <v>OK</v>
      </c>
      <c r="W139" s="1"/>
      <c r="X139" s="1"/>
    </row>
    <row r="140" spans="1:24">
      <c r="A140" s="4" t="s">
        <v>200</v>
      </c>
      <c r="B140" s="4">
        <v>809877</v>
      </c>
      <c r="C140" s="4" t="s">
        <v>146</v>
      </c>
      <c r="D140" s="4" t="s">
        <v>147</v>
      </c>
      <c r="E140" s="4" t="s">
        <v>148</v>
      </c>
      <c r="F140" s="4">
        <v>211121149</v>
      </c>
      <c r="G140" s="6">
        <v>46221</v>
      </c>
      <c r="H140" s="6">
        <v>46221</v>
      </c>
      <c r="I140" s="32">
        <v>46252</v>
      </c>
      <c r="J140" s="1">
        <v>29</v>
      </c>
      <c r="K140" s="4">
        <v>500</v>
      </c>
      <c r="M140" s="4" t="s">
        <v>39</v>
      </c>
      <c r="N140" s="6">
        <v>46221</v>
      </c>
      <c r="O140" s="1">
        <v>50</v>
      </c>
      <c r="P140" s="4">
        <v>0</v>
      </c>
      <c r="Q140" s="4">
        <v>0</v>
      </c>
      <c r="R140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140" s="9">
        <f>IF(OR(Dashboard_Query[[#This Row],[Monthly Allowance]]="",Dashboard_Query[[#This Row],[Current Usage]]=""),"",Dashboard_Query[[#This Row],[Current Usage]]/Dashboard_Query[[#This Row],[Monthly Allowance]])</f>
        <v>0</v>
      </c>
      <c r="T140" s="9">
        <f>IF(Dashboard_Query[[#This Row],[% Used]]="","",1-Dashboard_Query[[#This Row],[% Used]])</f>
        <v>1</v>
      </c>
      <c r="U140" s="4">
        <f>IF(OR(Dashboard_Query[[#This Row],[Monthly Allowance]]="",Dashboard_Query[[#This Row],[Current Usage]]=""),"",MAX(0,Dashboard_Query[[#This Row],[Current Usage]]-Dashboard_Query[[#This Row],[Monthly Allowance]]))</f>
        <v>0</v>
      </c>
      <c r="V140" s="4" t="str">
        <f>IF(Dashboard_Query[[#This Row],[Monthly Allowance]]="","",IF(Dashboard_Query[[#This Row],[Overage]]&gt;0,"OVER",IF(Dashboard_Query[[#This Row],[% Used]]&gt;=0.8,"WARNING","OK")))</f>
        <v>OK</v>
      </c>
      <c r="W140" s="1"/>
      <c r="X140" s="1"/>
    </row>
    <row r="141" spans="1:24">
      <c r="A141" s="4" t="s">
        <v>201</v>
      </c>
      <c r="B141" s="4">
        <v>810095</v>
      </c>
      <c r="C141" s="4" t="s">
        <v>146</v>
      </c>
      <c r="D141" s="4" t="s">
        <v>147</v>
      </c>
      <c r="E141" s="4" t="s">
        <v>148</v>
      </c>
      <c r="F141" s="4">
        <v>211121149</v>
      </c>
      <c r="G141" s="6">
        <v>46221</v>
      </c>
      <c r="H141" s="6">
        <v>46221</v>
      </c>
      <c r="I141" s="32">
        <v>46252</v>
      </c>
      <c r="J141" s="1">
        <v>29</v>
      </c>
      <c r="K141" s="4">
        <v>500</v>
      </c>
      <c r="M141" s="4" t="s">
        <v>39</v>
      </c>
      <c r="N141" s="6">
        <v>46221</v>
      </c>
      <c r="O141" s="1">
        <v>50</v>
      </c>
      <c r="P141" s="4">
        <v>0</v>
      </c>
      <c r="Q141" s="4">
        <v>0</v>
      </c>
      <c r="R141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141" s="9">
        <f>IF(OR(Dashboard_Query[[#This Row],[Monthly Allowance]]="",Dashboard_Query[[#This Row],[Current Usage]]=""),"",Dashboard_Query[[#This Row],[Current Usage]]/Dashboard_Query[[#This Row],[Monthly Allowance]])</f>
        <v>0</v>
      </c>
      <c r="T141" s="9">
        <f>IF(Dashboard_Query[[#This Row],[% Used]]="","",1-Dashboard_Query[[#This Row],[% Used]])</f>
        <v>1</v>
      </c>
      <c r="U141" s="4">
        <f>IF(OR(Dashboard_Query[[#This Row],[Monthly Allowance]]="",Dashboard_Query[[#This Row],[Current Usage]]=""),"",MAX(0,Dashboard_Query[[#This Row],[Current Usage]]-Dashboard_Query[[#This Row],[Monthly Allowance]]))</f>
        <v>0</v>
      </c>
      <c r="V141" s="4" t="str">
        <f>IF(Dashboard_Query[[#This Row],[Monthly Allowance]]="","",IF(Dashboard_Query[[#This Row],[Overage]]&gt;0,"OVER",IF(Dashboard_Query[[#This Row],[% Used]]&gt;=0.8,"WARNING","OK")))</f>
        <v>OK</v>
      </c>
      <c r="W141" s="1"/>
      <c r="X141" s="1"/>
    </row>
    <row r="142" spans="1:24">
      <c r="A142" s="4" t="s">
        <v>202</v>
      </c>
      <c r="B142" s="4">
        <v>810096</v>
      </c>
      <c r="C142" s="4" t="s">
        <v>146</v>
      </c>
      <c r="D142" s="4" t="s">
        <v>147</v>
      </c>
      <c r="E142" s="4" t="s">
        <v>148</v>
      </c>
      <c r="F142" s="4">
        <v>211121149</v>
      </c>
      <c r="G142" s="6">
        <v>46221</v>
      </c>
      <c r="H142" s="6">
        <v>46221</v>
      </c>
      <c r="I142" s="32">
        <v>46252</v>
      </c>
      <c r="J142" s="1">
        <v>29</v>
      </c>
      <c r="K142" s="4">
        <v>500</v>
      </c>
      <c r="M142" s="4" t="s">
        <v>39</v>
      </c>
      <c r="N142" s="6">
        <v>46221</v>
      </c>
      <c r="O142" s="1">
        <v>50</v>
      </c>
      <c r="P142" s="4">
        <v>0</v>
      </c>
      <c r="Q142" s="4">
        <v>0</v>
      </c>
      <c r="R142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142" s="9">
        <f>IF(OR(Dashboard_Query[[#This Row],[Monthly Allowance]]="",Dashboard_Query[[#This Row],[Current Usage]]=""),"",Dashboard_Query[[#This Row],[Current Usage]]/Dashboard_Query[[#This Row],[Monthly Allowance]])</f>
        <v>0</v>
      </c>
      <c r="T142" s="9">
        <f>IF(Dashboard_Query[[#This Row],[% Used]]="","",1-Dashboard_Query[[#This Row],[% Used]])</f>
        <v>1</v>
      </c>
      <c r="U142" s="4">
        <f>IF(OR(Dashboard_Query[[#This Row],[Monthly Allowance]]="",Dashboard_Query[[#This Row],[Current Usage]]=""),"",MAX(0,Dashboard_Query[[#This Row],[Current Usage]]-Dashboard_Query[[#This Row],[Monthly Allowance]]))</f>
        <v>0</v>
      </c>
      <c r="V142" s="4" t="str">
        <f>IF(Dashboard_Query[[#This Row],[Monthly Allowance]]="","",IF(Dashboard_Query[[#This Row],[Overage]]&gt;0,"OVER",IF(Dashboard_Query[[#This Row],[% Used]]&gt;=0.8,"WARNING","OK")))</f>
        <v>OK</v>
      </c>
      <c r="W142" s="1"/>
      <c r="X142" s="1"/>
    </row>
    <row r="143" spans="1:24">
      <c r="A143" s="4" t="s">
        <v>203</v>
      </c>
      <c r="B143" s="4">
        <v>812805</v>
      </c>
      <c r="C143" s="4" t="s">
        <v>47</v>
      </c>
      <c r="D143" s="4" t="s">
        <v>48</v>
      </c>
      <c r="E143" s="4" t="s">
        <v>49</v>
      </c>
      <c r="F143" s="4">
        <v>211120714</v>
      </c>
      <c r="G143" s="6">
        <v>46204</v>
      </c>
      <c r="H143" s="6">
        <v>46204</v>
      </c>
      <c r="I143" s="32">
        <v>46235</v>
      </c>
      <c r="J143" s="1">
        <v>12</v>
      </c>
      <c r="K143" s="4">
        <v>500</v>
      </c>
      <c r="M143" s="4" t="s">
        <v>39</v>
      </c>
      <c r="N143" s="6">
        <v>46204</v>
      </c>
      <c r="O143" s="1">
        <v>50</v>
      </c>
      <c r="P143" s="4">
        <v>31.6</v>
      </c>
      <c r="Q143" s="4">
        <v>31.6</v>
      </c>
      <c r="R143" s="4">
        <f>IF(
    OR(Dashboard_Query[[#This Row],[Monthly Allowance]]="",Dashboard_Query[[#This Row],[Current Usage]]=""),
    "",
    MAX(0,Dashboard_Query[[#This Row],[Monthly Allowance]]-Dashboard_Query[[#This Row],[Current Usage]])
)</f>
        <v>468.4</v>
      </c>
      <c r="S143" s="9">
        <f>IF(OR(Dashboard_Query[[#This Row],[Monthly Allowance]]="",Dashboard_Query[[#This Row],[Current Usage]]=""),"",Dashboard_Query[[#This Row],[Current Usage]]/Dashboard_Query[[#This Row],[Monthly Allowance]])</f>
        <v>6.3200000000000006E-2</v>
      </c>
      <c r="T143" s="9">
        <f>IF(Dashboard_Query[[#This Row],[% Used]]="","",1-Dashboard_Query[[#This Row],[% Used]])</f>
        <v>0.93679999999999997</v>
      </c>
      <c r="U143" s="4">
        <f>IF(OR(Dashboard_Query[[#This Row],[Monthly Allowance]]="",Dashboard_Query[[#This Row],[Current Usage]]=""),"",MAX(0,Dashboard_Query[[#This Row],[Current Usage]]-Dashboard_Query[[#This Row],[Monthly Allowance]]))</f>
        <v>0</v>
      </c>
      <c r="V143" s="4" t="str">
        <f>IF(Dashboard_Query[[#This Row],[Monthly Allowance]]="","",IF(Dashboard_Query[[#This Row],[Overage]]&gt;0,"OVER",IF(Dashboard_Query[[#This Row],[% Used]]&gt;=0.8,"WARNING","OK")))</f>
        <v>OK</v>
      </c>
      <c r="W143" s="1"/>
      <c r="X143" s="1"/>
    </row>
    <row r="144" spans="1:24">
      <c r="A144" s="4" t="s">
        <v>204</v>
      </c>
      <c r="B144" s="4">
        <v>810098</v>
      </c>
      <c r="C144" s="4" t="s">
        <v>146</v>
      </c>
      <c r="D144" s="4" t="s">
        <v>147</v>
      </c>
      <c r="E144" s="4" t="s">
        <v>148</v>
      </c>
      <c r="F144" s="4">
        <v>211121149</v>
      </c>
      <c r="G144" s="6">
        <v>46221</v>
      </c>
      <c r="H144" s="6">
        <v>46221</v>
      </c>
      <c r="I144" s="32">
        <v>46252</v>
      </c>
      <c r="J144" s="1">
        <v>29</v>
      </c>
      <c r="K144" s="4">
        <v>500</v>
      </c>
      <c r="M144" s="4" t="s">
        <v>39</v>
      </c>
      <c r="N144" s="6">
        <v>46221</v>
      </c>
      <c r="O144" s="1">
        <v>50</v>
      </c>
      <c r="P144" s="4">
        <v>0</v>
      </c>
      <c r="Q144" s="4">
        <v>0</v>
      </c>
      <c r="R144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144" s="9">
        <f>IF(OR(Dashboard_Query[[#This Row],[Monthly Allowance]]="",Dashboard_Query[[#This Row],[Current Usage]]=""),"",Dashboard_Query[[#This Row],[Current Usage]]/Dashboard_Query[[#This Row],[Monthly Allowance]])</f>
        <v>0</v>
      </c>
      <c r="T144" s="9">
        <f>IF(Dashboard_Query[[#This Row],[% Used]]="","",1-Dashboard_Query[[#This Row],[% Used]])</f>
        <v>1</v>
      </c>
      <c r="U144" s="4">
        <f>IF(OR(Dashboard_Query[[#This Row],[Monthly Allowance]]="",Dashboard_Query[[#This Row],[Current Usage]]=""),"",MAX(0,Dashboard_Query[[#This Row],[Current Usage]]-Dashboard_Query[[#This Row],[Monthly Allowance]]))</f>
        <v>0</v>
      </c>
      <c r="V144" s="4" t="str">
        <f>IF(Dashboard_Query[[#This Row],[Monthly Allowance]]="","",IF(Dashboard_Query[[#This Row],[Overage]]&gt;0,"OVER",IF(Dashboard_Query[[#This Row],[% Used]]&gt;=0.8,"WARNING","OK")))</f>
        <v>OK</v>
      </c>
      <c r="W144" s="1"/>
      <c r="X144" s="1"/>
    </row>
    <row r="145" spans="1:24">
      <c r="A145" s="4" t="s">
        <v>205</v>
      </c>
      <c r="B145" s="4">
        <v>812823</v>
      </c>
      <c r="C145" s="4" t="s">
        <v>47</v>
      </c>
      <c r="D145" s="4" t="s">
        <v>48</v>
      </c>
      <c r="E145" s="4" t="s">
        <v>49</v>
      </c>
      <c r="F145" s="4">
        <v>211120714</v>
      </c>
      <c r="G145" s="6">
        <v>46204</v>
      </c>
      <c r="H145" s="6">
        <v>46204</v>
      </c>
      <c r="I145" s="32">
        <v>46235</v>
      </c>
      <c r="J145" s="1">
        <v>12</v>
      </c>
      <c r="K145" s="4">
        <v>500</v>
      </c>
      <c r="M145" s="4" t="s">
        <v>39</v>
      </c>
      <c r="N145" s="6">
        <v>46204</v>
      </c>
      <c r="O145" s="1">
        <v>50</v>
      </c>
      <c r="P145" s="4">
        <v>30.24</v>
      </c>
      <c r="Q145" s="4">
        <v>30.24</v>
      </c>
      <c r="R145" s="4">
        <f>IF(
    OR(Dashboard_Query[[#This Row],[Monthly Allowance]]="",Dashboard_Query[[#This Row],[Current Usage]]=""),
    "",
    MAX(0,Dashboard_Query[[#This Row],[Monthly Allowance]]-Dashboard_Query[[#This Row],[Current Usage]])
)</f>
        <v>469.76</v>
      </c>
      <c r="S145" s="9">
        <f>IF(OR(Dashboard_Query[[#This Row],[Monthly Allowance]]="",Dashboard_Query[[#This Row],[Current Usage]]=""),"",Dashboard_Query[[#This Row],[Current Usage]]/Dashboard_Query[[#This Row],[Monthly Allowance]])</f>
        <v>6.0479999999999999E-2</v>
      </c>
      <c r="T145" s="9">
        <f>IF(Dashboard_Query[[#This Row],[% Used]]="","",1-Dashboard_Query[[#This Row],[% Used]])</f>
        <v>0.93952000000000002</v>
      </c>
      <c r="U145" s="4">
        <f>IF(OR(Dashboard_Query[[#This Row],[Monthly Allowance]]="",Dashboard_Query[[#This Row],[Current Usage]]=""),"",MAX(0,Dashboard_Query[[#This Row],[Current Usage]]-Dashboard_Query[[#This Row],[Monthly Allowance]]))</f>
        <v>0</v>
      </c>
      <c r="V145" s="4" t="str">
        <f>IF(Dashboard_Query[[#This Row],[Monthly Allowance]]="","",IF(Dashboard_Query[[#This Row],[Overage]]&gt;0,"OVER",IF(Dashboard_Query[[#This Row],[% Used]]&gt;=0.8,"WARNING","OK")))</f>
        <v>OK</v>
      </c>
      <c r="W145" s="1"/>
      <c r="X145" s="1"/>
    </row>
    <row r="146" spans="1:24">
      <c r="A146" s="4" t="s">
        <v>206</v>
      </c>
      <c r="B146" s="4">
        <v>812826</v>
      </c>
      <c r="C146" s="4" t="s">
        <v>41</v>
      </c>
      <c r="D146" s="4" t="s">
        <v>42</v>
      </c>
      <c r="E146" s="4" t="s">
        <v>43</v>
      </c>
      <c r="F146" s="4">
        <v>211120662</v>
      </c>
      <c r="G146" s="6">
        <v>46203</v>
      </c>
      <c r="H146" s="6">
        <v>46203</v>
      </c>
      <c r="I146" s="32">
        <v>46233</v>
      </c>
      <c r="J146" s="1">
        <v>10</v>
      </c>
      <c r="K146" s="4">
        <v>500</v>
      </c>
      <c r="M146" s="4" t="s">
        <v>39</v>
      </c>
      <c r="N146" s="6">
        <v>46203</v>
      </c>
      <c r="O146" s="1">
        <v>500</v>
      </c>
      <c r="P146" s="4">
        <v>27.51</v>
      </c>
      <c r="Q146" s="4">
        <v>27.51</v>
      </c>
      <c r="R146" s="4">
        <f>IF(
    OR(Dashboard_Query[[#This Row],[Monthly Allowance]]="",Dashboard_Query[[#This Row],[Current Usage]]=""),
    "",
    MAX(0,Dashboard_Query[[#This Row],[Monthly Allowance]]-Dashboard_Query[[#This Row],[Current Usage]])
)</f>
        <v>472.49</v>
      </c>
      <c r="S146" s="9">
        <f>IF(OR(Dashboard_Query[[#This Row],[Monthly Allowance]]="",Dashboard_Query[[#This Row],[Current Usage]]=""),"",Dashboard_Query[[#This Row],[Current Usage]]/Dashboard_Query[[#This Row],[Monthly Allowance]])</f>
        <v>5.5020000000000006E-2</v>
      </c>
      <c r="T146" s="9">
        <f>IF(Dashboard_Query[[#This Row],[% Used]]="","",1-Dashboard_Query[[#This Row],[% Used]])</f>
        <v>0.94498000000000004</v>
      </c>
      <c r="U146" s="4">
        <f>IF(OR(Dashboard_Query[[#This Row],[Monthly Allowance]]="",Dashboard_Query[[#This Row],[Current Usage]]=""),"",MAX(0,Dashboard_Query[[#This Row],[Current Usage]]-Dashboard_Query[[#This Row],[Monthly Allowance]]))</f>
        <v>0</v>
      </c>
      <c r="V146" s="4" t="str">
        <f>IF(Dashboard_Query[[#This Row],[Monthly Allowance]]="","",IF(Dashboard_Query[[#This Row],[Overage]]&gt;0,"OVER",IF(Dashboard_Query[[#This Row],[% Used]]&gt;=0.8,"WARNING","OK")))</f>
        <v>OK</v>
      </c>
      <c r="W146" s="1"/>
      <c r="X146" s="1"/>
    </row>
    <row r="147" spans="1:24">
      <c r="A147" s="4" t="s">
        <v>207</v>
      </c>
      <c r="B147" s="4">
        <v>810102</v>
      </c>
      <c r="C147" s="4" t="s">
        <v>54</v>
      </c>
      <c r="D147" s="4" t="s">
        <v>55</v>
      </c>
      <c r="E147" s="4" t="s">
        <v>56</v>
      </c>
      <c r="F147" s="4">
        <v>211120934</v>
      </c>
      <c r="G147" s="6">
        <v>46214</v>
      </c>
      <c r="H147" s="6">
        <v>46214</v>
      </c>
      <c r="I147" s="32">
        <v>46245</v>
      </c>
      <c r="J147" s="1">
        <v>22</v>
      </c>
      <c r="K147" s="4">
        <v>500</v>
      </c>
      <c r="M147" s="4" t="s">
        <v>39</v>
      </c>
      <c r="N147" s="6">
        <v>46214</v>
      </c>
      <c r="O147" s="1">
        <v>50</v>
      </c>
      <c r="P147" s="4">
        <v>11.58</v>
      </c>
      <c r="Q147" s="4">
        <v>11.58</v>
      </c>
      <c r="R147" s="4">
        <f>IF(
    OR(Dashboard_Query[[#This Row],[Monthly Allowance]]="",Dashboard_Query[[#This Row],[Current Usage]]=""),
    "",
    MAX(0,Dashboard_Query[[#This Row],[Monthly Allowance]]-Dashboard_Query[[#This Row],[Current Usage]])
)</f>
        <v>488.42</v>
      </c>
      <c r="S147" s="9">
        <f>IF(OR(Dashboard_Query[[#This Row],[Monthly Allowance]]="",Dashboard_Query[[#This Row],[Current Usage]]=""),"",Dashboard_Query[[#This Row],[Current Usage]]/Dashboard_Query[[#This Row],[Monthly Allowance]])</f>
        <v>2.316E-2</v>
      </c>
      <c r="T147" s="9">
        <f>IF(Dashboard_Query[[#This Row],[% Used]]="","",1-Dashboard_Query[[#This Row],[% Used]])</f>
        <v>0.97684000000000004</v>
      </c>
      <c r="U147" s="4">
        <f>IF(OR(Dashboard_Query[[#This Row],[Monthly Allowance]]="",Dashboard_Query[[#This Row],[Current Usage]]=""),"",MAX(0,Dashboard_Query[[#This Row],[Current Usage]]-Dashboard_Query[[#This Row],[Monthly Allowance]]))</f>
        <v>0</v>
      </c>
      <c r="V147" s="4" t="str">
        <f>IF(Dashboard_Query[[#This Row],[Monthly Allowance]]="","",IF(Dashboard_Query[[#This Row],[Overage]]&gt;0,"OVER",IF(Dashboard_Query[[#This Row],[% Used]]&gt;=0.8,"WARNING","OK")))</f>
        <v>OK</v>
      </c>
      <c r="W147" s="1"/>
      <c r="X147" s="1"/>
    </row>
    <row r="148" spans="1:24">
      <c r="A148" s="4" t="s">
        <v>208</v>
      </c>
      <c r="B148" s="4">
        <v>812837</v>
      </c>
      <c r="C148" s="4" t="s">
        <v>41</v>
      </c>
      <c r="D148" s="4" t="s">
        <v>42</v>
      </c>
      <c r="E148" s="4" t="s">
        <v>43</v>
      </c>
      <c r="F148" s="4">
        <v>211120721</v>
      </c>
      <c r="G148" s="6">
        <v>46204</v>
      </c>
      <c r="H148" s="6">
        <v>46204</v>
      </c>
      <c r="I148" s="32">
        <v>46235</v>
      </c>
      <c r="J148" s="1">
        <v>12</v>
      </c>
      <c r="K148" s="4">
        <v>500</v>
      </c>
      <c r="M148" s="4" t="s">
        <v>39</v>
      </c>
      <c r="N148" s="6">
        <v>46204</v>
      </c>
      <c r="O148" s="1">
        <v>500</v>
      </c>
      <c r="P148" s="4">
        <v>27.22</v>
      </c>
      <c r="Q148" s="4">
        <v>27.22</v>
      </c>
      <c r="R148" s="4">
        <f>IF(
    OR(Dashboard_Query[[#This Row],[Monthly Allowance]]="",Dashboard_Query[[#This Row],[Current Usage]]=""),
    "",
    MAX(0,Dashboard_Query[[#This Row],[Monthly Allowance]]-Dashboard_Query[[#This Row],[Current Usage]])
)</f>
        <v>472.78</v>
      </c>
      <c r="S148" s="9">
        <f>IF(OR(Dashboard_Query[[#This Row],[Monthly Allowance]]="",Dashboard_Query[[#This Row],[Current Usage]]=""),"",Dashboard_Query[[#This Row],[Current Usage]]/Dashboard_Query[[#This Row],[Monthly Allowance]])</f>
        <v>5.4439999999999995E-2</v>
      </c>
      <c r="T148" s="9">
        <f>IF(Dashboard_Query[[#This Row],[% Used]]="","",1-Dashboard_Query[[#This Row],[% Used]])</f>
        <v>0.94555999999999996</v>
      </c>
      <c r="U148" s="4">
        <f>IF(OR(Dashboard_Query[[#This Row],[Monthly Allowance]]="",Dashboard_Query[[#This Row],[Current Usage]]=""),"",MAX(0,Dashboard_Query[[#This Row],[Current Usage]]-Dashboard_Query[[#This Row],[Monthly Allowance]]))</f>
        <v>0</v>
      </c>
      <c r="V148" s="4" t="str">
        <f>IF(Dashboard_Query[[#This Row],[Monthly Allowance]]="","",IF(Dashboard_Query[[#This Row],[Overage]]&gt;0,"OVER",IF(Dashboard_Query[[#This Row],[% Used]]&gt;=0.8,"WARNING","OK")))</f>
        <v>OK</v>
      </c>
      <c r="W148" s="1"/>
      <c r="X148" s="1"/>
    </row>
    <row r="149" spans="1:24" hidden="1">
      <c r="A149" s="4" t="s">
        <v>209</v>
      </c>
      <c r="B149" s="4">
        <v>810103</v>
      </c>
      <c r="C149" s="4"/>
      <c r="D149" s="4"/>
      <c r="E149" s="4"/>
      <c r="F149" s="4"/>
      <c r="G149" s="6"/>
      <c r="H149" s="6"/>
      <c r="I149" s="32"/>
      <c r="J149" s="1"/>
      <c r="K149" s="4">
        <v>500</v>
      </c>
      <c r="M149" s="4" t="s">
        <v>74</v>
      </c>
      <c r="N149" s="6"/>
      <c r="O149" s="1">
        <v>50</v>
      </c>
      <c r="P149" s="4">
        <v>0</v>
      </c>
      <c r="Q149" s="4">
        <v>0</v>
      </c>
      <c r="R149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149" s="9">
        <f>IF(OR(Dashboard_Query[[#This Row],[Monthly Allowance]]="",Dashboard_Query[[#This Row],[Current Usage]]=""),"",Dashboard_Query[[#This Row],[Current Usage]]/Dashboard_Query[[#This Row],[Monthly Allowance]])</f>
        <v>0</v>
      </c>
      <c r="T149" s="9">
        <f>IF(Dashboard_Query[[#This Row],[% Used]]="","",1-Dashboard_Query[[#This Row],[% Used]])</f>
        <v>1</v>
      </c>
      <c r="U149" s="4">
        <f>IF(OR(Dashboard_Query[[#This Row],[Monthly Allowance]]="",Dashboard_Query[[#This Row],[Current Usage]]=""),"",MAX(0,Dashboard_Query[[#This Row],[Current Usage]]-Dashboard_Query[[#This Row],[Monthly Allowance]]))</f>
        <v>0</v>
      </c>
      <c r="V149" s="4" t="str">
        <f>IF(Dashboard_Query[[#This Row],[Monthly Allowance]]="","",IF(Dashboard_Query[[#This Row],[Overage]]&gt;0,"OVER",IF(Dashboard_Query[[#This Row],[% Used]]&gt;=0.8,"WARNING","OK")))</f>
        <v>OK</v>
      </c>
      <c r="W149" s="1"/>
      <c r="X149" s="1"/>
    </row>
    <row r="150" spans="1:24">
      <c r="A150" s="4" t="s">
        <v>210</v>
      </c>
      <c r="B150" s="4">
        <v>812848</v>
      </c>
      <c r="C150" s="4" t="s">
        <v>47</v>
      </c>
      <c r="D150" s="4" t="s">
        <v>48</v>
      </c>
      <c r="E150" s="4" t="s">
        <v>49</v>
      </c>
      <c r="F150" s="4">
        <v>211120714</v>
      </c>
      <c r="G150" s="6">
        <v>46204</v>
      </c>
      <c r="H150" s="6">
        <v>46204</v>
      </c>
      <c r="I150" s="32">
        <v>46235</v>
      </c>
      <c r="J150" s="1">
        <v>12</v>
      </c>
      <c r="K150" s="4">
        <v>500</v>
      </c>
      <c r="M150" s="4" t="s">
        <v>39</v>
      </c>
      <c r="N150" s="6">
        <v>46204</v>
      </c>
      <c r="O150" s="1">
        <v>500</v>
      </c>
      <c r="P150" s="4">
        <v>25.88</v>
      </c>
      <c r="Q150" s="4">
        <v>25.88</v>
      </c>
      <c r="R150" s="4">
        <f>IF(
    OR(Dashboard_Query[[#This Row],[Monthly Allowance]]="",Dashboard_Query[[#This Row],[Current Usage]]=""),
    "",
    MAX(0,Dashboard_Query[[#This Row],[Monthly Allowance]]-Dashboard_Query[[#This Row],[Current Usage]])
)</f>
        <v>474.12</v>
      </c>
      <c r="S150" s="9">
        <f>IF(OR(Dashboard_Query[[#This Row],[Monthly Allowance]]="",Dashboard_Query[[#This Row],[Current Usage]]=""),"",Dashboard_Query[[#This Row],[Current Usage]]/Dashboard_Query[[#This Row],[Monthly Allowance]])</f>
        <v>5.176E-2</v>
      </c>
      <c r="T150" s="9">
        <f>IF(Dashboard_Query[[#This Row],[% Used]]="","",1-Dashboard_Query[[#This Row],[% Used]])</f>
        <v>0.94823999999999997</v>
      </c>
      <c r="U150" s="4">
        <f>IF(OR(Dashboard_Query[[#This Row],[Monthly Allowance]]="",Dashboard_Query[[#This Row],[Current Usage]]=""),"",MAX(0,Dashboard_Query[[#This Row],[Current Usage]]-Dashboard_Query[[#This Row],[Monthly Allowance]]))</f>
        <v>0</v>
      </c>
      <c r="V150" s="4" t="str">
        <f>IF(Dashboard_Query[[#This Row],[Monthly Allowance]]="","",IF(Dashboard_Query[[#This Row],[Overage]]&gt;0,"OVER",IF(Dashboard_Query[[#This Row],[% Used]]&gt;=0.8,"WARNING","OK")))</f>
        <v>OK</v>
      </c>
      <c r="W150" s="1"/>
      <c r="X150" s="1"/>
    </row>
    <row r="151" spans="1:24">
      <c r="A151" s="4" t="s">
        <v>211</v>
      </c>
      <c r="B151" s="4">
        <v>810105</v>
      </c>
      <c r="C151" s="4" t="s">
        <v>212</v>
      </c>
      <c r="D151" s="4" t="s">
        <v>213</v>
      </c>
      <c r="E151" s="4" t="s">
        <v>214</v>
      </c>
      <c r="F151" s="4">
        <v>211121141</v>
      </c>
      <c r="G151" s="6">
        <v>46221</v>
      </c>
      <c r="H151" s="6">
        <v>46221</v>
      </c>
      <c r="I151" s="32">
        <v>46252</v>
      </c>
      <c r="J151" s="1">
        <v>29</v>
      </c>
      <c r="K151" s="4">
        <v>500</v>
      </c>
      <c r="M151" s="4" t="s">
        <v>39</v>
      </c>
      <c r="N151" s="6">
        <v>46221</v>
      </c>
      <c r="O151" s="1">
        <v>50</v>
      </c>
      <c r="P151" s="4">
        <v>0</v>
      </c>
      <c r="Q151" s="4">
        <v>0</v>
      </c>
      <c r="R151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151" s="9">
        <f>IF(OR(Dashboard_Query[[#This Row],[Monthly Allowance]]="",Dashboard_Query[[#This Row],[Current Usage]]=""),"",Dashboard_Query[[#This Row],[Current Usage]]/Dashboard_Query[[#This Row],[Monthly Allowance]])</f>
        <v>0</v>
      </c>
      <c r="T151" s="9">
        <f>IF(Dashboard_Query[[#This Row],[% Used]]="","",1-Dashboard_Query[[#This Row],[% Used]])</f>
        <v>1</v>
      </c>
      <c r="U151" s="4">
        <f>IF(OR(Dashboard_Query[[#This Row],[Monthly Allowance]]="",Dashboard_Query[[#This Row],[Current Usage]]=""),"",MAX(0,Dashboard_Query[[#This Row],[Current Usage]]-Dashboard_Query[[#This Row],[Monthly Allowance]]))</f>
        <v>0</v>
      </c>
      <c r="V151" s="4" t="str">
        <f>IF(Dashboard_Query[[#This Row],[Monthly Allowance]]="","",IF(Dashboard_Query[[#This Row],[Overage]]&gt;0,"OVER",IF(Dashboard_Query[[#This Row],[% Used]]&gt;=0.8,"WARNING","OK")))</f>
        <v>OK</v>
      </c>
      <c r="W151" s="1"/>
      <c r="X151" s="1"/>
    </row>
    <row r="152" spans="1:24">
      <c r="A152" s="4" t="s">
        <v>215</v>
      </c>
      <c r="B152" s="4">
        <v>812806</v>
      </c>
      <c r="C152" s="4" t="s">
        <v>47</v>
      </c>
      <c r="D152" s="4" t="s">
        <v>48</v>
      </c>
      <c r="E152" s="4" t="s">
        <v>49</v>
      </c>
      <c r="F152" s="4">
        <v>211120714</v>
      </c>
      <c r="G152" s="6">
        <v>46204</v>
      </c>
      <c r="H152" s="6">
        <v>46204</v>
      </c>
      <c r="I152" s="32">
        <v>46235</v>
      </c>
      <c r="J152" s="1">
        <v>12</v>
      </c>
      <c r="K152" s="4">
        <v>500</v>
      </c>
      <c r="M152" s="4" t="s">
        <v>39</v>
      </c>
      <c r="N152" s="6">
        <v>46204</v>
      </c>
      <c r="O152" s="1">
        <v>500</v>
      </c>
      <c r="P152" s="4">
        <v>25.24</v>
      </c>
      <c r="Q152" s="4">
        <v>25.24</v>
      </c>
      <c r="R152" s="4">
        <f>IF(
    OR(Dashboard_Query[[#This Row],[Monthly Allowance]]="",Dashboard_Query[[#This Row],[Current Usage]]=""),
    "",
    MAX(0,Dashboard_Query[[#This Row],[Monthly Allowance]]-Dashboard_Query[[#This Row],[Current Usage]])
)</f>
        <v>474.76</v>
      </c>
      <c r="S152" s="9">
        <f>IF(OR(Dashboard_Query[[#This Row],[Monthly Allowance]]="",Dashboard_Query[[#This Row],[Current Usage]]=""),"",Dashboard_Query[[#This Row],[Current Usage]]/Dashboard_Query[[#This Row],[Monthly Allowance]])</f>
        <v>5.0479999999999997E-2</v>
      </c>
      <c r="T152" s="9">
        <f>IF(Dashboard_Query[[#This Row],[% Used]]="","",1-Dashboard_Query[[#This Row],[% Used]])</f>
        <v>0.94952000000000003</v>
      </c>
      <c r="U152" s="4">
        <f>IF(OR(Dashboard_Query[[#This Row],[Monthly Allowance]]="",Dashboard_Query[[#This Row],[Current Usage]]=""),"",MAX(0,Dashboard_Query[[#This Row],[Current Usage]]-Dashboard_Query[[#This Row],[Monthly Allowance]]))</f>
        <v>0</v>
      </c>
      <c r="V152" s="4" t="str">
        <f>IF(Dashboard_Query[[#This Row],[Monthly Allowance]]="","",IF(Dashboard_Query[[#This Row],[Overage]]&gt;0,"OVER",IF(Dashboard_Query[[#This Row],[% Used]]&gt;=0.8,"WARNING","OK")))</f>
        <v>OK</v>
      </c>
      <c r="W152" s="1"/>
      <c r="X152" s="1"/>
    </row>
    <row r="153" spans="1:24">
      <c r="A153" s="4" t="s">
        <v>216</v>
      </c>
      <c r="B153" s="4">
        <v>810106</v>
      </c>
      <c r="C153" s="4" t="s">
        <v>146</v>
      </c>
      <c r="D153" s="4" t="s">
        <v>147</v>
      </c>
      <c r="E153" s="4" t="s">
        <v>148</v>
      </c>
      <c r="F153" s="4">
        <v>211121149</v>
      </c>
      <c r="G153" s="6">
        <v>46221</v>
      </c>
      <c r="H153" s="6">
        <v>46221</v>
      </c>
      <c r="I153" s="32">
        <v>46252</v>
      </c>
      <c r="J153" s="1">
        <v>29</v>
      </c>
      <c r="K153" s="4">
        <v>500</v>
      </c>
      <c r="M153" s="4" t="s">
        <v>39</v>
      </c>
      <c r="N153" s="6">
        <v>46221</v>
      </c>
      <c r="O153" s="1">
        <v>50</v>
      </c>
      <c r="P153" s="4">
        <v>0</v>
      </c>
      <c r="Q153" s="4">
        <v>0</v>
      </c>
      <c r="R153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153" s="9">
        <f>IF(OR(Dashboard_Query[[#This Row],[Monthly Allowance]]="",Dashboard_Query[[#This Row],[Current Usage]]=""),"",Dashboard_Query[[#This Row],[Current Usage]]/Dashboard_Query[[#This Row],[Monthly Allowance]])</f>
        <v>0</v>
      </c>
      <c r="T153" s="9">
        <f>IF(Dashboard_Query[[#This Row],[% Used]]="","",1-Dashboard_Query[[#This Row],[% Used]])</f>
        <v>1</v>
      </c>
      <c r="U153" s="4">
        <f>IF(OR(Dashboard_Query[[#This Row],[Monthly Allowance]]="",Dashboard_Query[[#This Row],[Current Usage]]=""),"",MAX(0,Dashboard_Query[[#This Row],[Current Usage]]-Dashboard_Query[[#This Row],[Monthly Allowance]]))</f>
        <v>0</v>
      </c>
      <c r="V153" s="4" t="str">
        <f>IF(Dashboard_Query[[#This Row],[Monthly Allowance]]="","",IF(Dashboard_Query[[#This Row],[Overage]]&gt;0,"OVER",IF(Dashboard_Query[[#This Row],[% Used]]&gt;=0.8,"WARNING","OK")))</f>
        <v>OK</v>
      </c>
      <c r="W153" s="1"/>
      <c r="X153" s="1"/>
    </row>
    <row r="154" spans="1:24">
      <c r="A154" s="4" t="s">
        <v>217</v>
      </c>
      <c r="B154" s="4">
        <v>812824</v>
      </c>
      <c r="C154" s="4" t="s">
        <v>41</v>
      </c>
      <c r="D154" s="4" t="s">
        <v>42</v>
      </c>
      <c r="E154" s="4" t="s">
        <v>43</v>
      </c>
      <c r="F154" s="4">
        <v>211120662</v>
      </c>
      <c r="G154" s="6">
        <v>46203</v>
      </c>
      <c r="H154" s="6">
        <v>46203</v>
      </c>
      <c r="I154" s="32">
        <v>46233</v>
      </c>
      <c r="J154" s="1">
        <v>10</v>
      </c>
      <c r="K154" s="4">
        <v>500</v>
      </c>
      <c r="M154" s="4" t="s">
        <v>39</v>
      </c>
      <c r="N154" s="6">
        <v>46203</v>
      </c>
      <c r="O154" s="1">
        <v>500</v>
      </c>
      <c r="P154" s="4">
        <v>22.25</v>
      </c>
      <c r="Q154" s="4">
        <v>22.25</v>
      </c>
      <c r="R154" s="4">
        <f>IF(
    OR(Dashboard_Query[[#This Row],[Monthly Allowance]]="",Dashboard_Query[[#This Row],[Current Usage]]=""),
    "",
    MAX(0,Dashboard_Query[[#This Row],[Monthly Allowance]]-Dashboard_Query[[#This Row],[Current Usage]])
)</f>
        <v>477.75</v>
      </c>
      <c r="S154" s="9">
        <f>IF(OR(Dashboard_Query[[#This Row],[Monthly Allowance]]="",Dashboard_Query[[#This Row],[Current Usage]]=""),"",Dashboard_Query[[#This Row],[Current Usage]]/Dashboard_Query[[#This Row],[Monthly Allowance]])</f>
        <v>4.4499999999999998E-2</v>
      </c>
      <c r="T154" s="9">
        <f>IF(Dashboard_Query[[#This Row],[% Used]]="","",1-Dashboard_Query[[#This Row],[% Used]])</f>
        <v>0.95550000000000002</v>
      </c>
      <c r="U154" s="4">
        <f>IF(OR(Dashboard_Query[[#This Row],[Monthly Allowance]]="",Dashboard_Query[[#This Row],[Current Usage]]=""),"",MAX(0,Dashboard_Query[[#This Row],[Current Usage]]-Dashboard_Query[[#This Row],[Monthly Allowance]]))</f>
        <v>0</v>
      </c>
      <c r="V154" s="4" t="str">
        <f>IF(Dashboard_Query[[#This Row],[Monthly Allowance]]="","",IF(Dashboard_Query[[#This Row],[Overage]]&gt;0,"OVER",IF(Dashboard_Query[[#This Row],[% Used]]&gt;=0.8,"WARNING","OK")))</f>
        <v>OK</v>
      </c>
      <c r="W154" s="1"/>
      <c r="X154" s="1"/>
    </row>
    <row r="155" spans="1:24">
      <c r="A155" s="4" t="s">
        <v>218</v>
      </c>
      <c r="B155" s="4">
        <v>812804</v>
      </c>
      <c r="C155" s="4" t="s">
        <v>47</v>
      </c>
      <c r="D155" s="4" t="s">
        <v>48</v>
      </c>
      <c r="E155" s="4" t="s">
        <v>49</v>
      </c>
      <c r="F155" s="4">
        <v>211120714</v>
      </c>
      <c r="G155" s="6">
        <v>46204</v>
      </c>
      <c r="H155" s="6">
        <v>46204</v>
      </c>
      <c r="I155" s="32">
        <v>46235</v>
      </c>
      <c r="J155" s="1">
        <v>12</v>
      </c>
      <c r="K155" s="4">
        <v>500</v>
      </c>
      <c r="M155" s="4" t="s">
        <v>39</v>
      </c>
      <c r="N155" s="6">
        <v>46204</v>
      </c>
      <c r="O155" s="1">
        <v>500</v>
      </c>
      <c r="P155" s="4">
        <v>21.71</v>
      </c>
      <c r="Q155" s="4">
        <v>21.71</v>
      </c>
      <c r="R155" s="4">
        <f>IF(
    OR(Dashboard_Query[[#This Row],[Monthly Allowance]]="",Dashboard_Query[[#This Row],[Current Usage]]=""),
    "",
    MAX(0,Dashboard_Query[[#This Row],[Monthly Allowance]]-Dashboard_Query[[#This Row],[Current Usage]])
)</f>
        <v>478.29</v>
      </c>
      <c r="S155" s="9">
        <f>IF(OR(Dashboard_Query[[#This Row],[Monthly Allowance]]="",Dashboard_Query[[#This Row],[Current Usage]]=""),"",Dashboard_Query[[#This Row],[Current Usage]]/Dashboard_Query[[#This Row],[Monthly Allowance]])</f>
        <v>4.342E-2</v>
      </c>
      <c r="T155" s="9">
        <f>IF(Dashboard_Query[[#This Row],[% Used]]="","",1-Dashboard_Query[[#This Row],[% Used]])</f>
        <v>0.95657999999999999</v>
      </c>
      <c r="U155" s="4">
        <f>IF(OR(Dashboard_Query[[#This Row],[Monthly Allowance]]="",Dashboard_Query[[#This Row],[Current Usage]]=""),"",MAX(0,Dashboard_Query[[#This Row],[Current Usage]]-Dashboard_Query[[#This Row],[Monthly Allowance]]))</f>
        <v>0</v>
      </c>
      <c r="V155" s="4" t="str">
        <f>IF(Dashboard_Query[[#This Row],[Monthly Allowance]]="","",IF(Dashboard_Query[[#This Row],[Overage]]&gt;0,"OVER",IF(Dashboard_Query[[#This Row],[% Used]]&gt;=0.8,"WARNING","OK")))</f>
        <v>OK</v>
      </c>
      <c r="W155" s="1"/>
      <c r="X155" s="1"/>
    </row>
    <row r="156" spans="1:24">
      <c r="A156" s="4" t="s">
        <v>219</v>
      </c>
      <c r="B156" s="4">
        <v>812798</v>
      </c>
      <c r="C156" s="4" t="s">
        <v>47</v>
      </c>
      <c r="D156" s="4" t="s">
        <v>48</v>
      </c>
      <c r="E156" s="4" t="s">
        <v>49</v>
      </c>
      <c r="F156" s="4">
        <v>211120714</v>
      </c>
      <c r="G156" s="6">
        <v>46204</v>
      </c>
      <c r="H156" s="6">
        <v>46204</v>
      </c>
      <c r="I156" s="32">
        <v>46235</v>
      </c>
      <c r="J156" s="1">
        <v>12</v>
      </c>
      <c r="K156" s="4">
        <v>500</v>
      </c>
      <c r="M156" s="4" t="s">
        <v>39</v>
      </c>
      <c r="N156" s="6">
        <v>46204</v>
      </c>
      <c r="O156" s="1">
        <v>50</v>
      </c>
      <c r="P156" s="4">
        <v>19.45</v>
      </c>
      <c r="Q156" s="4">
        <v>19.45</v>
      </c>
      <c r="R156" s="4">
        <f>IF(
    OR(Dashboard_Query[[#This Row],[Monthly Allowance]]="",Dashboard_Query[[#This Row],[Current Usage]]=""),
    "",
    MAX(0,Dashboard_Query[[#This Row],[Monthly Allowance]]-Dashboard_Query[[#This Row],[Current Usage]])
)</f>
        <v>480.55</v>
      </c>
      <c r="S156" s="9">
        <f>IF(OR(Dashboard_Query[[#This Row],[Monthly Allowance]]="",Dashboard_Query[[#This Row],[Current Usage]]=""),"",Dashboard_Query[[#This Row],[Current Usage]]/Dashboard_Query[[#This Row],[Monthly Allowance]])</f>
        <v>3.8899999999999997E-2</v>
      </c>
      <c r="T156" s="9">
        <f>IF(Dashboard_Query[[#This Row],[% Used]]="","",1-Dashboard_Query[[#This Row],[% Used]])</f>
        <v>0.96109999999999995</v>
      </c>
      <c r="U156" s="4">
        <f>IF(OR(Dashboard_Query[[#This Row],[Monthly Allowance]]="",Dashboard_Query[[#This Row],[Current Usage]]=""),"",MAX(0,Dashboard_Query[[#This Row],[Current Usage]]-Dashboard_Query[[#This Row],[Monthly Allowance]]))</f>
        <v>0</v>
      </c>
      <c r="V156" s="4" t="str">
        <f>IF(Dashboard_Query[[#This Row],[Monthly Allowance]]="","",IF(Dashboard_Query[[#This Row],[Overage]]&gt;0,"OVER",IF(Dashboard_Query[[#This Row],[% Used]]&gt;=0.8,"WARNING","OK")))</f>
        <v>OK</v>
      </c>
      <c r="W156" s="1"/>
      <c r="X156" s="1"/>
    </row>
    <row r="157" spans="1:24">
      <c r="A157" s="4" t="s">
        <v>220</v>
      </c>
      <c r="B157" s="4">
        <v>812846</v>
      </c>
      <c r="C157" s="4" t="s">
        <v>41</v>
      </c>
      <c r="D157" s="4" t="s">
        <v>42</v>
      </c>
      <c r="E157" s="4" t="s">
        <v>43</v>
      </c>
      <c r="F157" s="4">
        <v>211120662</v>
      </c>
      <c r="G157" s="6">
        <v>46203</v>
      </c>
      <c r="H157" s="6">
        <v>46203</v>
      </c>
      <c r="I157" s="32">
        <v>46233</v>
      </c>
      <c r="J157" s="1">
        <v>10</v>
      </c>
      <c r="K157" s="4">
        <v>500</v>
      </c>
      <c r="M157" s="4" t="s">
        <v>39</v>
      </c>
      <c r="N157" s="6">
        <v>46203</v>
      </c>
      <c r="O157" s="1">
        <v>50</v>
      </c>
      <c r="P157" s="4">
        <v>18.55</v>
      </c>
      <c r="Q157" s="4">
        <v>18.55</v>
      </c>
      <c r="R157" s="4">
        <f>IF(
    OR(Dashboard_Query[[#This Row],[Monthly Allowance]]="",Dashboard_Query[[#This Row],[Current Usage]]=""),
    "",
    MAX(0,Dashboard_Query[[#This Row],[Monthly Allowance]]-Dashboard_Query[[#This Row],[Current Usage]])
)</f>
        <v>481.45</v>
      </c>
      <c r="S157" s="9">
        <f>IF(OR(Dashboard_Query[[#This Row],[Monthly Allowance]]="",Dashboard_Query[[#This Row],[Current Usage]]=""),"",Dashboard_Query[[#This Row],[Current Usage]]/Dashboard_Query[[#This Row],[Monthly Allowance]])</f>
        <v>3.7100000000000001E-2</v>
      </c>
      <c r="T157" s="9">
        <f>IF(Dashboard_Query[[#This Row],[% Used]]="","",1-Dashboard_Query[[#This Row],[% Used]])</f>
        <v>0.96289999999999998</v>
      </c>
      <c r="U157" s="4">
        <f>IF(OR(Dashboard_Query[[#This Row],[Monthly Allowance]]="",Dashboard_Query[[#This Row],[Current Usage]]=""),"",MAX(0,Dashboard_Query[[#This Row],[Current Usage]]-Dashboard_Query[[#This Row],[Monthly Allowance]]))</f>
        <v>0</v>
      </c>
      <c r="V157" s="4" t="str">
        <f>IF(Dashboard_Query[[#This Row],[Monthly Allowance]]="","",IF(Dashboard_Query[[#This Row],[Overage]]&gt;0,"OVER",IF(Dashboard_Query[[#This Row],[% Used]]&gt;=0.8,"WARNING","OK")))</f>
        <v>OK</v>
      </c>
      <c r="W157" s="1"/>
      <c r="X157" s="1"/>
    </row>
    <row r="158" spans="1:24" hidden="1">
      <c r="A158" s="4" t="s">
        <v>221</v>
      </c>
      <c r="B158" s="4">
        <v>812827</v>
      </c>
      <c r="C158" s="4"/>
      <c r="D158" s="4"/>
      <c r="E158" s="4"/>
      <c r="F158" s="4"/>
      <c r="G158" s="6"/>
      <c r="H158" s="6"/>
      <c r="I158" s="32"/>
      <c r="J158" s="1"/>
      <c r="K158" s="4">
        <v>500</v>
      </c>
      <c r="M158" s="4" t="s">
        <v>74</v>
      </c>
      <c r="N158" s="6"/>
      <c r="O158" s="1">
        <v>500</v>
      </c>
      <c r="P158" s="4">
        <v>18.5</v>
      </c>
      <c r="Q158" s="4">
        <v>18.5</v>
      </c>
      <c r="R158" s="4">
        <f>IF(
    OR(Dashboard_Query[[#This Row],[Monthly Allowance]]="",Dashboard_Query[[#This Row],[Current Usage]]=""),
    "",
    MAX(0,Dashboard_Query[[#This Row],[Monthly Allowance]]-Dashboard_Query[[#This Row],[Current Usage]])
)</f>
        <v>481.5</v>
      </c>
      <c r="S158" s="9">
        <f>IF(OR(Dashboard_Query[[#This Row],[Monthly Allowance]]="",Dashboard_Query[[#This Row],[Current Usage]]=""),"",Dashboard_Query[[#This Row],[Current Usage]]/Dashboard_Query[[#This Row],[Monthly Allowance]])</f>
        <v>3.6999999999999998E-2</v>
      </c>
      <c r="T158" s="9">
        <f>IF(Dashboard_Query[[#This Row],[% Used]]="","",1-Dashboard_Query[[#This Row],[% Used]])</f>
        <v>0.96299999999999997</v>
      </c>
      <c r="U158" s="4">
        <f>IF(OR(Dashboard_Query[[#This Row],[Monthly Allowance]]="",Dashboard_Query[[#This Row],[Current Usage]]=""),"",MAX(0,Dashboard_Query[[#This Row],[Current Usage]]-Dashboard_Query[[#This Row],[Monthly Allowance]]))</f>
        <v>0</v>
      </c>
      <c r="V158" s="4" t="str">
        <f>IF(Dashboard_Query[[#This Row],[Monthly Allowance]]="","",IF(Dashboard_Query[[#This Row],[Overage]]&gt;0,"OVER",IF(Dashboard_Query[[#This Row],[% Used]]&gt;=0.8,"WARNING","OK")))</f>
        <v>OK</v>
      </c>
      <c r="W158" s="1"/>
      <c r="X158" s="1"/>
    </row>
    <row r="159" spans="1:24">
      <c r="A159" s="4" t="s">
        <v>222</v>
      </c>
      <c r="B159" s="4">
        <v>812811</v>
      </c>
      <c r="C159" s="4" t="s">
        <v>223</v>
      </c>
      <c r="D159" s="4" t="s">
        <v>224</v>
      </c>
      <c r="E159" s="4" t="s">
        <v>225</v>
      </c>
      <c r="F159" s="4">
        <v>211120865</v>
      </c>
      <c r="G159" s="6">
        <v>46211</v>
      </c>
      <c r="H159" s="6">
        <v>46211</v>
      </c>
      <c r="I159" s="32">
        <v>46242</v>
      </c>
      <c r="J159" s="1">
        <v>19</v>
      </c>
      <c r="K159" s="4">
        <v>500</v>
      </c>
      <c r="M159" s="4" t="s">
        <v>39</v>
      </c>
      <c r="N159" s="6">
        <v>46211</v>
      </c>
      <c r="O159" s="1">
        <v>50</v>
      </c>
      <c r="P159" s="4">
        <v>16.329999999999998</v>
      </c>
      <c r="Q159" s="4">
        <v>16.329999999999998</v>
      </c>
      <c r="R159" s="4">
        <f>IF(
    OR(Dashboard_Query[[#This Row],[Monthly Allowance]]="",Dashboard_Query[[#This Row],[Current Usage]]=""),
    "",
    MAX(0,Dashboard_Query[[#This Row],[Monthly Allowance]]-Dashboard_Query[[#This Row],[Current Usage]])
)</f>
        <v>483.67</v>
      </c>
      <c r="S159" s="9">
        <f>IF(OR(Dashboard_Query[[#This Row],[Monthly Allowance]]="",Dashboard_Query[[#This Row],[Current Usage]]=""),"",Dashboard_Query[[#This Row],[Current Usage]]/Dashboard_Query[[#This Row],[Monthly Allowance]])</f>
        <v>3.2659999999999995E-2</v>
      </c>
      <c r="T159" s="9">
        <f>IF(Dashboard_Query[[#This Row],[% Used]]="","",1-Dashboard_Query[[#This Row],[% Used]])</f>
        <v>0.96733999999999998</v>
      </c>
      <c r="U159" s="4">
        <f>IF(OR(Dashboard_Query[[#This Row],[Monthly Allowance]]="",Dashboard_Query[[#This Row],[Current Usage]]=""),"",MAX(0,Dashboard_Query[[#This Row],[Current Usage]]-Dashboard_Query[[#This Row],[Monthly Allowance]]))</f>
        <v>0</v>
      </c>
      <c r="V159" s="4" t="str">
        <f>IF(Dashboard_Query[[#This Row],[Monthly Allowance]]="","",IF(Dashboard_Query[[#This Row],[Overage]]&gt;0,"OVER",IF(Dashboard_Query[[#This Row],[% Used]]&gt;=0.8,"WARNING","OK")))</f>
        <v>OK</v>
      </c>
      <c r="W159" s="1"/>
      <c r="X159" s="1"/>
    </row>
    <row r="160" spans="1:24">
      <c r="A160" s="4" t="s">
        <v>226</v>
      </c>
      <c r="B160" s="4">
        <v>812825</v>
      </c>
      <c r="C160" s="4" t="s">
        <v>47</v>
      </c>
      <c r="D160" s="4" t="s">
        <v>48</v>
      </c>
      <c r="E160" s="4" t="s">
        <v>49</v>
      </c>
      <c r="F160" s="4">
        <v>211120714</v>
      </c>
      <c r="G160" s="6">
        <v>46204</v>
      </c>
      <c r="H160" s="6">
        <v>46204</v>
      </c>
      <c r="I160" s="32">
        <v>46235</v>
      </c>
      <c r="J160" s="1">
        <v>12</v>
      </c>
      <c r="K160" s="4">
        <v>500</v>
      </c>
      <c r="M160" s="4" t="s">
        <v>39</v>
      </c>
      <c r="N160" s="6">
        <v>46204</v>
      </c>
      <c r="O160" s="1">
        <v>50</v>
      </c>
      <c r="P160" s="4">
        <v>13.85</v>
      </c>
      <c r="Q160" s="4">
        <v>13.85</v>
      </c>
      <c r="R160" s="4">
        <f>IF(
    OR(Dashboard_Query[[#This Row],[Monthly Allowance]]="",Dashboard_Query[[#This Row],[Current Usage]]=""),
    "",
    MAX(0,Dashboard_Query[[#This Row],[Monthly Allowance]]-Dashboard_Query[[#This Row],[Current Usage]])
)</f>
        <v>486.15</v>
      </c>
      <c r="S160" s="9">
        <f>IF(OR(Dashboard_Query[[#This Row],[Monthly Allowance]]="",Dashboard_Query[[#This Row],[Current Usage]]=""),"",Dashboard_Query[[#This Row],[Current Usage]]/Dashboard_Query[[#This Row],[Monthly Allowance]])</f>
        <v>2.7699999999999999E-2</v>
      </c>
      <c r="T160" s="9">
        <f>IF(Dashboard_Query[[#This Row],[% Used]]="","",1-Dashboard_Query[[#This Row],[% Used]])</f>
        <v>0.97230000000000005</v>
      </c>
      <c r="U160" s="4">
        <f>IF(OR(Dashboard_Query[[#This Row],[Monthly Allowance]]="",Dashboard_Query[[#This Row],[Current Usage]]=""),"",MAX(0,Dashboard_Query[[#This Row],[Current Usage]]-Dashboard_Query[[#This Row],[Monthly Allowance]]))</f>
        <v>0</v>
      </c>
      <c r="V160" s="4" t="str">
        <f>IF(Dashboard_Query[[#This Row],[Monthly Allowance]]="","",IF(Dashboard_Query[[#This Row],[Overage]]&gt;0,"OVER",IF(Dashboard_Query[[#This Row],[% Used]]&gt;=0.8,"WARNING","OK")))</f>
        <v>OK</v>
      </c>
      <c r="W160" s="1"/>
      <c r="X160" s="1"/>
    </row>
    <row r="161" spans="1:24" hidden="1">
      <c r="A161" s="4" t="s">
        <v>227</v>
      </c>
      <c r="B161" s="4">
        <v>810648</v>
      </c>
      <c r="C161" s="4"/>
      <c r="D161" s="4"/>
      <c r="E161" s="4"/>
      <c r="F161" s="4"/>
      <c r="G161" s="6"/>
      <c r="H161" s="6"/>
      <c r="I161" s="32"/>
      <c r="J161" s="1"/>
      <c r="K161" s="4">
        <v>500</v>
      </c>
      <c r="M161" s="4" t="s">
        <v>74</v>
      </c>
      <c r="N161" s="6"/>
      <c r="O161" s="1">
        <v>50</v>
      </c>
      <c r="P161" s="4">
        <v>0</v>
      </c>
      <c r="Q161" s="4">
        <v>0</v>
      </c>
      <c r="R161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161" s="9">
        <f>IF(OR(Dashboard_Query[[#This Row],[Monthly Allowance]]="",Dashboard_Query[[#This Row],[Current Usage]]=""),"",Dashboard_Query[[#This Row],[Current Usage]]/Dashboard_Query[[#This Row],[Monthly Allowance]])</f>
        <v>0</v>
      </c>
      <c r="T161" s="9">
        <f>IF(Dashboard_Query[[#This Row],[% Used]]="","",1-Dashboard_Query[[#This Row],[% Used]])</f>
        <v>1</v>
      </c>
      <c r="U161" s="4">
        <f>IF(OR(Dashboard_Query[[#This Row],[Monthly Allowance]]="",Dashboard_Query[[#This Row],[Current Usage]]=""),"",MAX(0,Dashboard_Query[[#This Row],[Current Usage]]-Dashboard_Query[[#This Row],[Monthly Allowance]]))</f>
        <v>0</v>
      </c>
      <c r="V161" s="4" t="str">
        <f>IF(Dashboard_Query[[#This Row],[Monthly Allowance]]="","",IF(Dashboard_Query[[#This Row],[Overage]]&gt;0,"OVER",IF(Dashboard_Query[[#This Row],[% Used]]&gt;=0.8,"WARNING","OK")))</f>
        <v>OK</v>
      </c>
      <c r="W161" s="1"/>
      <c r="X161" s="1"/>
    </row>
    <row r="162" spans="1:24">
      <c r="A162" s="4" t="s">
        <v>228</v>
      </c>
      <c r="B162" s="4">
        <v>812808</v>
      </c>
      <c r="C162" s="4" t="s">
        <v>47</v>
      </c>
      <c r="D162" s="4" t="s">
        <v>48</v>
      </c>
      <c r="E162" s="4" t="s">
        <v>49</v>
      </c>
      <c r="F162" s="4">
        <v>211120714</v>
      </c>
      <c r="G162" s="6">
        <v>46204</v>
      </c>
      <c r="H162" s="6">
        <v>46204</v>
      </c>
      <c r="I162" s="32">
        <v>46235</v>
      </c>
      <c r="J162" s="1">
        <v>12</v>
      </c>
      <c r="K162" s="4">
        <v>500</v>
      </c>
      <c r="M162" s="4" t="s">
        <v>39</v>
      </c>
      <c r="N162" s="6">
        <v>46204</v>
      </c>
      <c r="O162" s="1">
        <v>50</v>
      </c>
      <c r="P162" s="4">
        <v>12.85</v>
      </c>
      <c r="Q162" s="4">
        <v>12.85</v>
      </c>
      <c r="R162" s="4">
        <f>IF(
    OR(Dashboard_Query[[#This Row],[Monthly Allowance]]="",Dashboard_Query[[#This Row],[Current Usage]]=""),
    "",
    MAX(0,Dashboard_Query[[#This Row],[Monthly Allowance]]-Dashboard_Query[[#This Row],[Current Usage]])
)</f>
        <v>487.15</v>
      </c>
      <c r="S162" s="9">
        <f>IF(OR(Dashboard_Query[[#This Row],[Monthly Allowance]]="",Dashboard_Query[[#This Row],[Current Usage]]=""),"",Dashboard_Query[[#This Row],[Current Usage]]/Dashboard_Query[[#This Row],[Monthly Allowance]])</f>
        <v>2.5700000000000001E-2</v>
      </c>
      <c r="T162" s="9">
        <f>IF(Dashboard_Query[[#This Row],[% Used]]="","",1-Dashboard_Query[[#This Row],[% Used]])</f>
        <v>0.97429999999999994</v>
      </c>
      <c r="U162" s="4">
        <f>IF(OR(Dashboard_Query[[#This Row],[Monthly Allowance]]="",Dashboard_Query[[#This Row],[Current Usage]]=""),"",MAX(0,Dashboard_Query[[#This Row],[Current Usage]]-Dashboard_Query[[#This Row],[Monthly Allowance]]))</f>
        <v>0</v>
      </c>
      <c r="V162" s="4" t="str">
        <f>IF(Dashboard_Query[[#This Row],[Monthly Allowance]]="","",IF(Dashboard_Query[[#This Row],[Overage]]&gt;0,"OVER",IF(Dashboard_Query[[#This Row],[% Used]]&gt;=0.8,"WARNING","OK")))</f>
        <v>OK</v>
      </c>
      <c r="W162" s="1"/>
      <c r="X162" s="1"/>
    </row>
    <row r="163" spans="1:24">
      <c r="A163" s="4" t="s">
        <v>229</v>
      </c>
      <c r="B163" s="4">
        <v>810649</v>
      </c>
      <c r="C163" s="4" t="s">
        <v>212</v>
      </c>
      <c r="D163" s="4" t="s">
        <v>213</v>
      </c>
      <c r="E163" s="4" t="s">
        <v>214</v>
      </c>
      <c r="F163" s="4">
        <v>211121141</v>
      </c>
      <c r="G163" s="6">
        <v>46221</v>
      </c>
      <c r="H163" s="6">
        <v>46221</v>
      </c>
      <c r="I163" s="32">
        <v>46252</v>
      </c>
      <c r="J163" s="1">
        <v>29</v>
      </c>
      <c r="K163" s="4">
        <v>500</v>
      </c>
      <c r="M163" s="4" t="s">
        <v>39</v>
      </c>
      <c r="N163" s="6">
        <v>46221</v>
      </c>
      <c r="O163" s="1">
        <v>50</v>
      </c>
      <c r="P163" s="4">
        <v>0</v>
      </c>
      <c r="Q163" s="4">
        <v>0</v>
      </c>
      <c r="R163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163" s="9">
        <f>IF(OR(Dashboard_Query[[#This Row],[Monthly Allowance]]="",Dashboard_Query[[#This Row],[Current Usage]]=""),"",Dashboard_Query[[#This Row],[Current Usage]]/Dashboard_Query[[#This Row],[Monthly Allowance]])</f>
        <v>0</v>
      </c>
      <c r="T163" s="9">
        <f>IF(Dashboard_Query[[#This Row],[% Used]]="","",1-Dashboard_Query[[#This Row],[% Used]])</f>
        <v>1</v>
      </c>
      <c r="U163" s="4">
        <f>IF(OR(Dashboard_Query[[#This Row],[Monthly Allowance]]="",Dashboard_Query[[#This Row],[Current Usage]]=""),"",MAX(0,Dashboard_Query[[#This Row],[Current Usage]]-Dashboard_Query[[#This Row],[Monthly Allowance]]))</f>
        <v>0</v>
      </c>
      <c r="V163" s="4" t="str">
        <f>IF(Dashboard_Query[[#This Row],[Monthly Allowance]]="","",IF(Dashboard_Query[[#This Row],[Overage]]&gt;0,"OVER",IF(Dashboard_Query[[#This Row],[% Used]]&gt;=0.8,"WARNING","OK")))</f>
        <v>OK</v>
      </c>
      <c r="W163" s="1"/>
      <c r="X163" s="1"/>
    </row>
    <row r="164" spans="1:24" ht="15">
      <c r="A164" s="4" t="s">
        <v>230</v>
      </c>
      <c r="B164" s="4">
        <v>812829</v>
      </c>
      <c r="C164" s="4" t="s">
        <v>41</v>
      </c>
      <c r="D164" s="4" t="s">
        <v>42</v>
      </c>
      <c r="E164" s="3" t="s">
        <v>43</v>
      </c>
      <c r="F164" s="3">
        <v>211120662</v>
      </c>
      <c r="G164" s="6">
        <v>46203</v>
      </c>
      <c r="H164" s="6">
        <v>46203</v>
      </c>
      <c r="I164" s="32">
        <v>46233</v>
      </c>
      <c r="J164" s="1">
        <v>10</v>
      </c>
      <c r="K164" s="4">
        <v>500</v>
      </c>
      <c r="M164" s="4" t="s">
        <v>39</v>
      </c>
      <c r="N164" s="6">
        <v>46203</v>
      </c>
      <c r="O164" s="1">
        <v>500</v>
      </c>
      <c r="P164" s="4">
        <v>12.18</v>
      </c>
      <c r="Q164" s="4">
        <v>12.18</v>
      </c>
      <c r="R164" s="4">
        <f>IF(
    OR(Dashboard_Query[[#This Row],[Monthly Allowance]]="",Dashboard_Query[[#This Row],[Current Usage]]=""),
    "",
    MAX(0,Dashboard_Query[[#This Row],[Monthly Allowance]]-Dashboard_Query[[#This Row],[Current Usage]])
)</f>
        <v>487.82</v>
      </c>
      <c r="S164" s="9">
        <f>IF(OR(Dashboard_Query[[#This Row],[Monthly Allowance]]="",Dashboard_Query[[#This Row],[Current Usage]]=""),"",Dashboard_Query[[#This Row],[Current Usage]]/Dashboard_Query[[#This Row],[Monthly Allowance]])</f>
        <v>2.436E-2</v>
      </c>
      <c r="T164" s="9">
        <f>IF(Dashboard_Query[[#This Row],[% Used]]="","",1-Dashboard_Query[[#This Row],[% Used]])</f>
        <v>0.97563999999999995</v>
      </c>
      <c r="U164" s="4">
        <f>IF(OR(Dashboard_Query[[#This Row],[Monthly Allowance]]="",Dashboard_Query[[#This Row],[Current Usage]]=""),"",MAX(0,Dashboard_Query[[#This Row],[Current Usage]]-Dashboard_Query[[#This Row],[Monthly Allowance]]))</f>
        <v>0</v>
      </c>
      <c r="V164" s="4" t="str">
        <f>IF(Dashboard_Query[[#This Row],[Monthly Allowance]]="","",IF(Dashboard_Query[[#This Row],[Overage]]&gt;0,"OVER",IF(Dashboard_Query[[#This Row],[% Used]]&gt;=0.8,"WARNING","OK")))</f>
        <v>OK</v>
      </c>
      <c r="W164" s="1"/>
      <c r="X164" s="1"/>
    </row>
    <row r="165" spans="1:24" hidden="1">
      <c r="A165" s="4" t="s">
        <v>231</v>
      </c>
      <c r="B165" s="4">
        <v>812796</v>
      </c>
      <c r="C165" s="4"/>
      <c r="D165" s="4"/>
      <c r="E165" s="4"/>
      <c r="F165" s="4"/>
      <c r="G165" s="6"/>
      <c r="H165" s="6"/>
      <c r="I165" s="32"/>
      <c r="J165" s="1"/>
      <c r="K165" s="4">
        <v>500</v>
      </c>
      <c r="M165" s="4" t="s">
        <v>74</v>
      </c>
      <c r="N165" s="6"/>
      <c r="O165" s="1">
        <v>500</v>
      </c>
      <c r="P165" s="4">
        <v>11.04</v>
      </c>
      <c r="Q165" s="4">
        <v>11.04</v>
      </c>
      <c r="R165" s="4">
        <f>IF(
    OR(Dashboard_Query[[#This Row],[Monthly Allowance]]="",Dashboard_Query[[#This Row],[Current Usage]]=""),
    "",
    MAX(0,Dashboard_Query[[#This Row],[Monthly Allowance]]-Dashboard_Query[[#This Row],[Current Usage]])
)</f>
        <v>488.96</v>
      </c>
      <c r="S165" s="9">
        <f>IF(OR(Dashboard_Query[[#This Row],[Monthly Allowance]]="",Dashboard_Query[[#This Row],[Current Usage]]=""),"",Dashboard_Query[[#This Row],[Current Usage]]/Dashboard_Query[[#This Row],[Monthly Allowance]])</f>
        <v>2.2079999999999999E-2</v>
      </c>
      <c r="T165" s="9">
        <f>IF(Dashboard_Query[[#This Row],[% Used]]="","",1-Dashboard_Query[[#This Row],[% Used]])</f>
        <v>0.97792000000000001</v>
      </c>
      <c r="U165" s="4">
        <f>IF(OR(Dashboard_Query[[#This Row],[Monthly Allowance]]="",Dashboard_Query[[#This Row],[Current Usage]]=""),"",MAX(0,Dashboard_Query[[#This Row],[Current Usage]]-Dashboard_Query[[#This Row],[Monthly Allowance]]))</f>
        <v>0</v>
      </c>
      <c r="V165" s="4" t="str">
        <f>IF(Dashboard_Query[[#This Row],[Monthly Allowance]]="","",IF(Dashboard_Query[[#This Row],[Overage]]&gt;0,"OVER",IF(Dashboard_Query[[#This Row],[% Used]]&gt;=0.8,"WARNING","OK")))</f>
        <v>OK</v>
      </c>
      <c r="W165" s="1"/>
      <c r="X165" s="1"/>
    </row>
    <row r="166" spans="1:24">
      <c r="A166" s="4" t="s">
        <v>232</v>
      </c>
      <c r="B166" s="4">
        <v>810651</v>
      </c>
      <c r="C166" s="4" t="s">
        <v>146</v>
      </c>
      <c r="D166" s="4" t="s">
        <v>147</v>
      </c>
      <c r="E166" s="4" t="s">
        <v>148</v>
      </c>
      <c r="F166" s="4">
        <v>211121149</v>
      </c>
      <c r="G166" s="6">
        <v>46221</v>
      </c>
      <c r="H166" s="6">
        <v>46221</v>
      </c>
      <c r="I166" s="32">
        <v>46252</v>
      </c>
      <c r="J166" s="1">
        <v>29</v>
      </c>
      <c r="K166" s="4">
        <v>500</v>
      </c>
      <c r="M166" s="4" t="s">
        <v>39</v>
      </c>
      <c r="N166" s="6">
        <v>46221</v>
      </c>
      <c r="O166" s="1">
        <v>50</v>
      </c>
      <c r="P166" s="4">
        <v>0.14000000000000001</v>
      </c>
      <c r="Q166" s="4">
        <v>0.14000000000000001</v>
      </c>
      <c r="R166" s="4">
        <f>IF(
    OR(Dashboard_Query[[#This Row],[Monthly Allowance]]="",Dashboard_Query[[#This Row],[Current Usage]]=""),
    "",
    MAX(0,Dashboard_Query[[#This Row],[Monthly Allowance]]-Dashboard_Query[[#This Row],[Current Usage]])
)</f>
        <v>499.86</v>
      </c>
      <c r="S166" s="9">
        <f>IF(OR(Dashboard_Query[[#This Row],[Monthly Allowance]]="",Dashboard_Query[[#This Row],[Current Usage]]=""),"",Dashboard_Query[[#This Row],[Current Usage]]/Dashboard_Query[[#This Row],[Monthly Allowance]])</f>
        <v>2.8000000000000003E-4</v>
      </c>
      <c r="T166" s="9">
        <f>IF(Dashboard_Query[[#This Row],[% Used]]="","",1-Dashboard_Query[[#This Row],[% Used]])</f>
        <v>0.99972000000000005</v>
      </c>
      <c r="U166" s="4">
        <f>IF(OR(Dashboard_Query[[#This Row],[Monthly Allowance]]="",Dashboard_Query[[#This Row],[Current Usage]]=""),"",MAX(0,Dashboard_Query[[#This Row],[Current Usage]]-Dashboard_Query[[#This Row],[Monthly Allowance]]))</f>
        <v>0</v>
      </c>
      <c r="V166" s="4" t="str">
        <f>IF(Dashboard_Query[[#This Row],[Monthly Allowance]]="","",IF(Dashboard_Query[[#This Row],[Overage]]&gt;0,"OVER",IF(Dashboard_Query[[#This Row],[% Used]]&gt;=0.8,"WARNING","OK")))</f>
        <v>OK</v>
      </c>
      <c r="W166" s="1"/>
      <c r="X166" s="1"/>
    </row>
    <row r="167" spans="1:24">
      <c r="A167" s="4" t="s">
        <v>233</v>
      </c>
      <c r="B167" s="4">
        <v>812784</v>
      </c>
      <c r="C167" s="4" t="s">
        <v>234</v>
      </c>
      <c r="D167" s="4" t="s">
        <v>108</v>
      </c>
      <c r="E167" s="4" t="s">
        <v>109</v>
      </c>
      <c r="F167" s="4">
        <v>211120836</v>
      </c>
      <c r="G167" s="6">
        <v>46210</v>
      </c>
      <c r="H167" s="6">
        <v>46210</v>
      </c>
      <c r="I167" s="32">
        <v>46241</v>
      </c>
      <c r="J167" s="1">
        <v>18</v>
      </c>
      <c r="K167" s="4">
        <v>500</v>
      </c>
      <c r="M167" s="4" t="s">
        <v>39</v>
      </c>
      <c r="N167" s="6">
        <v>46210</v>
      </c>
      <c r="O167" s="1">
        <v>50</v>
      </c>
      <c r="P167" s="4">
        <v>11.03</v>
      </c>
      <c r="Q167" s="4">
        <v>11.03</v>
      </c>
      <c r="R167" s="4">
        <f>IF(
    OR(Dashboard_Query[[#This Row],[Monthly Allowance]]="",Dashboard_Query[[#This Row],[Current Usage]]=""),
    "",
    MAX(0,Dashboard_Query[[#This Row],[Monthly Allowance]]-Dashboard_Query[[#This Row],[Current Usage]])
)</f>
        <v>488.97</v>
      </c>
      <c r="S167" s="9">
        <f>IF(OR(Dashboard_Query[[#This Row],[Monthly Allowance]]="",Dashboard_Query[[#This Row],[Current Usage]]=""),"",Dashboard_Query[[#This Row],[Current Usage]]/Dashboard_Query[[#This Row],[Monthly Allowance]])</f>
        <v>2.206E-2</v>
      </c>
      <c r="T167" s="9">
        <f>IF(Dashboard_Query[[#This Row],[% Used]]="","",1-Dashboard_Query[[#This Row],[% Used]])</f>
        <v>0.97794000000000003</v>
      </c>
      <c r="U167" s="4">
        <f>IF(OR(Dashboard_Query[[#This Row],[Monthly Allowance]]="",Dashboard_Query[[#This Row],[Current Usage]]=""),"",MAX(0,Dashboard_Query[[#This Row],[Current Usage]]-Dashboard_Query[[#This Row],[Monthly Allowance]]))</f>
        <v>0</v>
      </c>
      <c r="V167" s="4" t="str">
        <f>IF(Dashboard_Query[[#This Row],[Monthly Allowance]]="","",IF(Dashboard_Query[[#This Row],[Overage]]&gt;0,"OVER",IF(Dashboard_Query[[#This Row],[% Used]]&gt;=0.8,"WARNING","OK")))</f>
        <v>OK</v>
      </c>
      <c r="W167" s="1"/>
      <c r="X167" s="1"/>
    </row>
    <row r="168" spans="1:24">
      <c r="A168" s="4" t="s">
        <v>235</v>
      </c>
      <c r="B168" s="4">
        <v>812843</v>
      </c>
      <c r="C168" s="4" t="s">
        <v>223</v>
      </c>
      <c r="D168" s="4" t="s">
        <v>224</v>
      </c>
      <c r="E168" s="4" t="s">
        <v>225</v>
      </c>
      <c r="F168" s="4">
        <v>211120865</v>
      </c>
      <c r="G168" s="6">
        <v>46211</v>
      </c>
      <c r="H168" s="6">
        <v>46211</v>
      </c>
      <c r="I168" s="32">
        <v>46242</v>
      </c>
      <c r="J168" s="1">
        <v>19</v>
      </c>
      <c r="K168" s="4">
        <v>500</v>
      </c>
      <c r="M168" s="4" t="s">
        <v>39</v>
      </c>
      <c r="N168" s="6">
        <v>46211</v>
      </c>
      <c r="O168" s="1">
        <v>500</v>
      </c>
      <c r="P168" s="4">
        <v>11</v>
      </c>
      <c r="Q168" s="4">
        <v>11</v>
      </c>
      <c r="R168" s="4">
        <f>IF(
    OR(Dashboard_Query[[#This Row],[Monthly Allowance]]="",Dashboard_Query[[#This Row],[Current Usage]]=""),
    "",
    MAX(0,Dashboard_Query[[#This Row],[Monthly Allowance]]-Dashboard_Query[[#This Row],[Current Usage]])
)</f>
        <v>489</v>
      </c>
      <c r="S168" s="9">
        <f>IF(OR(Dashboard_Query[[#This Row],[Monthly Allowance]]="",Dashboard_Query[[#This Row],[Current Usage]]=""),"",Dashboard_Query[[#This Row],[Current Usage]]/Dashboard_Query[[#This Row],[Monthly Allowance]])</f>
        <v>2.1999999999999999E-2</v>
      </c>
      <c r="T168" s="9">
        <f>IF(Dashboard_Query[[#This Row],[% Used]]="","",1-Dashboard_Query[[#This Row],[% Used]])</f>
        <v>0.97799999999999998</v>
      </c>
      <c r="U168" s="4">
        <f>IF(OR(Dashboard_Query[[#This Row],[Monthly Allowance]]="",Dashboard_Query[[#This Row],[Current Usage]]=""),"",MAX(0,Dashboard_Query[[#This Row],[Current Usage]]-Dashboard_Query[[#This Row],[Monthly Allowance]]))</f>
        <v>0</v>
      </c>
      <c r="V168" s="4" t="str">
        <f>IF(Dashboard_Query[[#This Row],[Monthly Allowance]]="","",IF(Dashboard_Query[[#This Row],[Overage]]&gt;0,"OVER",IF(Dashboard_Query[[#This Row],[% Used]]&gt;=0.8,"WARNING","OK")))</f>
        <v>OK</v>
      </c>
      <c r="W168" s="1"/>
      <c r="X168" s="1"/>
    </row>
    <row r="169" spans="1:24">
      <c r="A169" s="4" t="s">
        <v>236</v>
      </c>
      <c r="B169" s="4">
        <v>810831</v>
      </c>
      <c r="C169" s="4" t="s">
        <v>146</v>
      </c>
      <c r="D169" s="4" t="s">
        <v>147</v>
      </c>
      <c r="E169" s="4" t="s">
        <v>148</v>
      </c>
      <c r="F169" s="4">
        <v>211121149</v>
      </c>
      <c r="G169" s="6">
        <v>46221</v>
      </c>
      <c r="H169" s="6">
        <v>46221</v>
      </c>
      <c r="I169" s="32">
        <v>46252</v>
      </c>
      <c r="J169" s="1">
        <v>29</v>
      </c>
      <c r="K169" s="4">
        <v>500</v>
      </c>
      <c r="M169" s="4" t="s">
        <v>39</v>
      </c>
      <c r="N169" s="6">
        <v>46221</v>
      </c>
      <c r="O169" s="1">
        <v>50</v>
      </c>
      <c r="P169" s="4">
        <v>0.1</v>
      </c>
      <c r="Q169" s="4">
        <v>0.1</v>
      </c>
      <c r="R169" s="4">
        <f>IF(
    OR(Dashboard_Query[[#This Row],[Monthly Allowance]]="",Dashboard_Query[[#This Row],[Current Usage]]=""),
    "",
    MAX(0,Dashboard_Query[[#This Row],[Monthly Allowance]]-Dashboard_Query[[#This Row],[Current Usage]])
)</f>
        <v>499.9</v>
      </c>
      <c r="S169" s="9">
        <f>IF(OR(Dashboard_Query[[#This Row],[Monthly Allowance]]="",Dashboard_Query[[#This Row],[Current Usage]]=""),"",Dashboard_Query[[#This Row],[Current Usage]]/Dashboard_Query[[#This Row],[Monthly Allowance]])</f>
        <v>2.0000000000000001E-4</v>
      </c>
      <c r="T169" s="9">
        <f>IF(Dashboard_Query[[#This Row],[% Used]]="","",1-Dashboard_Query[[#This Row],[% Used]])</f>
        <v>0.99980000000000002</v>
      </c>
      <c r="U169" s="4">
        <f>IF(OR(Dashboard_Query[[#This Row],[Monthly Allowance]]="",Dashboard_Query[[#This Row],[Current Usage]]=""),"",MAX(0,Dashboard_Query[[#This Row],[Current Usage]]-Dashboard_Query[[#This Row],[Monthly Allowance]]))</f>
        <v>0</v>
      </c>
      <c r="V169" s="4" t="str">
        <f>IF(Dashboard_Query[[#This Row],[Monthly Allowance]]="","",IF(Dashboard_Query[[#This Row],[Overage]]&gt;0,"OVER",IF(Dashboard_Query[[#This Row],[% Used]]&gt;=0.8,"WARNING","OK")))</f>
        <v>OK</v>
      </c>
      <c r="W169" s="1"/>
      <c r="X169" s="1"/>
    </row>
    <row r="170" spans="1:24">
      <c r="A170" s="4" t="s">
        <v>237</v>
      </c>
      <c r="B170" s="4">
        <v>812822</v>
      </c>
      <c r="C170" s="4" t="s">
        <v>47</v>
      </c>
      <c r="D170" s="4" t="s">
        <v>48</v>
      </c>
      <c r="E170" s="4" t="s">
        <v>49</v>
      </c>
      <c r="F170" s="4">
        <v>211120714</v>
      </c>
      <c r="G170" s="6">
        <v>46204</v>
      </c>
      <c r="H170" s="6">
        <v>46204</v>
      </c>
      <c r="I170" s="32">
        <v>46235</v>
      </c>
      <c r="J170" s="1">
        <v>12</v>
      </c>
      <c r="K170" s="4">
        <v>500</v>
      </c>
      <c r="M170" s="4" t="s">
        <v>39</v>
      </c>
      <c r="N170" s="6">
        <v>46204</v>
      </c>
      <c r="O170" s="1">
        <v>50</v>
      </c>
      <c r="P170" s="4">
        <v>8.76</v>
      </c>
      <c r="Q170" s="4">
        <v>8.76</v>
      </c>
      <c r="R170" s="4">
        <f>IF(
    OR(Dashboard_Query[[#This Row],[Monthly Allowance]]="",Dashboard_Query[[#This Row],[Current Usage]]=""),
    "",
    MAX(0,Dashboard_Query[[#This Row],[Monthly Allowance]]-Dashboard_Query[[#This Row],[Current Usage]])
)</f>
        <v>491.24</v>
      </c>
      <c r="S170" s="9">
        <f>IF(OR(Dashboard_Query[[#This Row],[Monthly Allowance]]="",Dashboard_Query[[#This Row],[Current Usage]]=""),"",Dashboard_Query[[#This Row],[Current Usage]]/Dashboard_Query[[#This Row],[Monthly Allowance]])</f>
        <v>1.7520000000000001E-2</v>
      </c>
      <c r="T170" s="9">
        <f>IF(Dashboard_Query[[#This Row],[% Used]]="","",1-Dashboard_Query[[#This Row],[% Used]])</f>
        <v>0.98248000000000002</v>
      </c>
      <c r="U170" s="4">
        <f>IF(OR(Dashboard_Query[[#This Row],[Monthly Allowance]]="",Dashboard_Query[[#This Row],[Current Usage]]=""),"",MAX(0,Dashboard_Query[[#This Row],[Current Usage]]-Dashboard_Query[[#This Row],[Monthly Allowance]]))</f>
        <v>0</v>
      </c>
      <c r="V170" s="4" t="str">
        <f>IF(Dashboard_Query[[#This Row],[Monthly Allowance]]="","",IF(Dashboard_Query[[#This Row],[Overage]]&gt;0,"OVER",IF(Dashboard_Query[[#This Row],[% Used]]&gt;=0.8,"WARNING","OK")))</f>
        <v>OK</v>
      </c>
      <c r="W170" s="1"/>
      <c r="X170" s="1"/>
    </row>
    <row r="171" spans="1:24">
      <c r="A171" s="4" t="s">
        <v>238</v>
      </c>
      <c r="B171" s="4">
        <v>810832</v>
      </c>
      <c r="C171" s="4" t="s">
        <v>146</v>
      </c>
      <c r="D171" s="4" t="s">
        <v>147</v>
      </c>
      <c r="E171" s="4" t="s">
        <v>148</v>
      </c>
      <c r="F171" s="4">
        <v>211121149</v>
      </c>
      <c r="G171" s="6">
        <v>46221</v>
      </c>
      <c r="H171" s="6">
        <v>46221</v>
      </c>
      <c r="I171" s="32">
        <v>46252</v>
      </c>
      <c r="J171" s="1">
        <v>29</v>
      </c>
      <c r="K171" s="4">
        <v>500</v>
      </c>
      <c r="M171" s="4" t="s">
        <v>39</v>
      </c>
      <c r="N171" s="6">
        <v>46221</v>
      </c>
      <c r="O171" s="1">
        <v>50</v>
      </c>
      <c r="P171" s="4">
        <v>0</v>
      </c>
      <c r="Q171" s="4">
        <v>0</v>
      </c>
      <c r="R171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171" s="9">
        <f>IF(OR(Dashboard_Query[[#This Row],[Monthly Allowance]]="",Dashboard_Query[[#This Row],[Current Usage]]=""),"",Dashboard_Query[[#This Row],[Current Usage]]/Dashboard_Query[[#This Row],[Monthly Allowance]])</f>
        <v>0</v>
      </c>
      <c r="T171" s="9">
        <f>IF(Dashboard_Query[[#This Row],[% Used]]="","",1-Dashboard_Query[[#This Row],[% Used]])</f>
        <v>1</v>
      </c>
      <c r="U171" s="4">
        <f>IF(OR(Dashboard_Query[[#This Row],[Monthly Allowance]]="",Dashboard_Query[[#This Row],[Current Usage]]=""),"",MAX(0,Dashboard_Query[[#This Row],[Current Usage]]-Dashboard_Query[[#This Row],[Monthly Allowance]]))</f>
        <v>0</v>
      </c>
      <c r="V171" s="4" t="str">
        <f>IF(Dashboard_Query[[#This Row],[Monthly Allowance]]="","",IF(Dashboard_Query[[#This Row],[Overage]]&gt;0,"OVER",IF(Dashboard_Query[[#This Row],[% Used]]&gt;=0.8,"WARNING","OK")))</f>
        <v>OK</v>
      </c>
      <c r="W171" s="1"/>
      <c r="X171" s="1"/>
    </row>
    <row r="172" spans="1:24">
      <c r="A172" s="4" t="s">
        <v>239</v>
      </c>
      <c r="B172" s="4">
        <v>812818</v>
      </c>
      <c r="C172" s="4" t="s">
        <v>223</v>
      </c>
      <c r="D172" s="4" t="s">
        <v>224</v>
      </c>
      <c r="E172" s="4" t="s">
        <v>225</v>
      </c>
      <c r="F172" s="4">
        <v>211120865</v>
      </c>
      <c r="G172" s="6">
        <v>46211</v>
      </c>
      <c r="H172" s="6">
        <v>46211</v>
      </c>
      <c r="I172" s="32">
        <v>46242</v>
      </c>
      <c r="J172" s="1">
        <v>19</v>
      </c>
      <c r="K172" s="4">
        <v>500</v>
      </c>
      <c r="M172" s="4" t="s">
        <v>39</v>
      </c>
      <c r="N172" s="6">
        <v>46211</v>
      </c>
      <c r="O172" s="1">
        <v>50</v>
      </c>
      <c r="P172" s="4">
        <v>8.7100000000000009</v>
      </c>
      <c r="Q172" s="4">
        <v>8.7100000000000009</v>
      </c>
      <c r="R172" s="4">
        <f>IF(
    OR(Dashboard_Query[[#This Row],[Monthly Allowance]]="",Dashboard_Query[[#This Row],[Current Usage]]=""),
    "",
    MAX(0,Dashboard_Query[[#This Row],[Monthly Allowance]]-Dashboard_Query[[#This Row],[Current Usage]])
)</f>
        <v>491.29</v>
      </c>
      <c r="S172" s="9">
        <f>IF(OR(Dashboard_Query[[#This Row],[Monthly Allowance]]="",Dashboard_Query[[#This Row],[Current Usage]]=""),"",Dashboard_Query[[#This Row],[Current Usage]]/Dashboard_Query[[#This Row],[Monthly Allowance]])</f>
        <v>1.7420000000000001E-2</v>
      </c>
      <c r="T172" s="9">
        <f>IF(Dashboard_Query[[#This Row],[% Used]]="","",1-Dashboard_Query[[#This Row],[% Used]])</f>
        <v>0.98258000000000001</v>
      </c>
      <c r="U172" s="4">
        <f>IF(OR(Dashboard_Query[[#This Row],[Monthly Allowance]]="",Dashboard_Query[[#This Row],[Current Usage]]=""),"",MAX(0,Dashboard_Query[[#This Row],[Current Usage]]-Dashboard_Query[[#This Row],[Monthly Allowance]]))</f>
        <v>0</v>
      </c>
      <c r="V172" s="4" t="str">
        <f>IF(Dashboard_Query[[#This Row],[Monthly Allowance]]="","",IF(Dashboard_Query[[#This Row],[Overage]]&gt;0,"OVER",IF(Dashboard_Query[[#This Row],[% Used]]&gt;=0.8,"WARNING","OK")))</f>
        <v>OK</v>
      </c>
      <c r="W172" s="1"/>
      <c r="X172" s="1"/>
    </row>
    <row r="173" spans="1:24">
      <c r="A173" s="4" t="s">
        <v>240</v>
      </c>
      <c r="B173" s="4">
        <v>812842</v>
      </c>
      <c r="C173" s="4" t="s">
        <v>223</v>
      </c>
      <c r="D173" s="4" t="s">
        <v>224</v>
      </c>
      <c r="E173" s="4" t="s">
        <v>225</v>
      </c>
      <c r="F173" s="4">
        <v>211120865</v>
      </c>
      <c r="G173" s="6">
        <v>46211</v>
      </c>
      <c r="H173" s="6">
        <v>46211</v>
      </c>
      <c r="I173" s="32">
        <v>46242</v>
      </c>
      <c r="J173" s="1">
        <v>19</v>
      </c>
      <c r="K173" s="4">
        <v>500</v>
      </c>
      <c r="M173" s="4" t="s">
        <v>39</v>
      </c>
      <c r="N173" s="6">
        <v>46211</v>
      </c>
      <c r="O173" s="1">
        <v>50</v>
      </c>
      <c r="P173" s="4">
        <v>6.87</v>
      </c>
      <c r="Q173" s="4">
        <v>6.87</v>
      </c>
      <c r="R173" s="4">
        <f>IF(
    OR(Dashboard_Query[[#This Row],[Monthly Allowance]]="",Dashboard_Query[[#This Row],[Current Usage]]=""),
    "",
    MAX(0,Dashboard_Query[[#This Row],[Monthly Allowance]]-Dashboard_Query[[#This Row],[Current Usage]])
)</f>
        <v>493.13</v>
      </c>
      <c r="S173" s="9">
        <f>IF(OR(Dashboard_Query[[#This Row],[Monthly Allowance]]="",Dashboard_Query[[#This Row],[Current Usage]]=""),"",Dashboard_Query[[#This Row],[Current Usage]]/Dashboard_Query[[#This Row],[Monthly Allowance]])</f>
        <v>1.374E-2</v>
      </c>
      <c r="T173" s="9">
        <f>IF(Dashboard_Query[[#This Row],[% Used]]="","",1-Dashboard_Query[[#This Row],[% Used]])</f>
        <v>0.98626000000000003</v>
      </c>
      <c r="U173" s="4">
        <f>IF(OR(Dashboard_Query[[#This Row],[Monthly Allowance]]="",Dashboard_Query[[#This Row],[Current Usage]]=""),"",MAX(0,Dashboard_Query[[#This Row],[Current Usage]]-Dashboard_Query[[#This Row],[Monthly Allowance]]))</f>
        <v>0</v>
      </c>
      <c r="V173" s="4" t="str">
        <f>IF(Dashboard_Query[[#This Row],[Monthly Allowance]]="","",IF(Dashboard_Query[[#This Row],[Overage]]&gt;0,"OVER",IF(Dashboard_Query[[#This Row],[% Used]]&gt;=0.8,"WARNING","OK")))</f>
        <v>OK</v>
      </c>
      <c r="W173" s="1"/>
      <c r="X173" s="1"/>
    </row>
    <row r="174" spans="1:24">
      <c r="A174" s="4" t="s">
        <v>241</v>
      </c>
      <c r="B174" s="4">
        <v>810833</v>
      </c>
      <c r="C174" s="4" t="s">
        <v>146</v>
      </c>
      <c r="D174" s="4" t="s">
        <v>147</v>
      </c>
      <c r="E174" s="4" t="s">
        <v>148</v>
      </c>
      <c r="F174" s="4">
        <v>211121149</v>
      </c>
      <c r="G174" s="6">
        <v>46221</v>
      </c>
      <c r="H174" s="6">
        <v>46221</v>
      </c>
      <c r="I174" s="32">
        <v>46252</v>
      </c>
      <c r="J174" s="1">
        <v>29</v>
      </c>
      <c r="K174" s="4">
        <v>500</v>
      </c>
      <c r="M174" s="4" t="s">
        <v>39</v>
      </c>
      <c r="N174" s="6">
        <v>46221</v>
      </c>
      <c r="O174" s="1">
        <v>50</v>
      </c>
      <c r="P174" s="4">
        <v>0</v>
      </c>
      <c r="Q174" s="4">
        <v>0</v>
      </c>
      <c r="R174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174" s="9">
        <f>IF(OR(Dashboard_Query[[#This Row],[Monthly Allowance]]="",Dashboard_Query[[#This Row],[Current Usage]]=""),"",Dashboard_Query[[#This Row],[Current Usage]]/Dashboard_Query[[#This Row],[Monthly Allowance]])</f>
        <v>0</v>
      </c>
      <c r="T174" s="9">
        <f>IF(Dashboard_Query[[#This Row],[% Used]]="","",1-Dashboard_Query[[#This Row],[% Used]])</f>
        <v>1</v>
      </c>
      <c r="U174" s="4">
        <f>IF(OR(Dashboard_Query[[#This Row],[Monthly Allowance]]="",Dashboard_Query[[#This Row],[Current Usage]]=""),"",MAX(0,Dashboard_Query[[#This Row],[Current Usage]]-Dashboard_Query[[#This Row],[Monthly Allowance]]))</f>
        <v>0</v>
      </c>
      <c r="V174" s="4" t="str">
        <f>IF(Dashboard_Query[[#This Row],[Monthly Allowance]]="","",IF(Dashboard_Query[[#This Row],[Overage]]&gt;0,"OVER",IF(Dashboard_Query[[#This Row],[% Used]]&gt;=0.8,"WARNING","OK")))</f>
        <v>OK</v>
      </c>
      <c r="W174" s="1"/>
      <c r="X174" s="1"/>
    </row>
    <row r="175" spans="1:24">
      <c r="A175" s="4" t="s">
        <v>242</v>
      </c>
      <c r="B175" s="4">
        <v>810834</v>
      </c>
      <c r="C175" s="4" t="s">
        <v>146</v>
      </c>
      <c r="D175" s="4" t="s">
        <v>147</v>
      </c>
      <c r="E175" s="4" t="s">
        <v>148</v>
      </c>
      <c r="F175" s="4">
        <v>211121149</v>
      </c>
      <c r="G175" s="6">
        <v>46221</v>
      </c>
      <c r="H175" s="6">
        <v>46221</v>
      </c>
      <c r="I175" s="32">
        <v>46252</v>
      </c>
      <c r="J175" s="1">
        <v>29</v>
      </c>
      <c r="K175" s="4">
        <v>500</v>
      </c>
      <c r="M175" s="4" t="s">
        <v>39</v>
      </c>
      <c r="N175" s="6">
        <v>46221</v>
      </c>
      <c r="O175" s="1">
        <v>50</v>
      </c>
      <c r="P175" s="4">
        <v>2.0499999999999998</v>
      </c>
      <c r="Q175" s="4">
        <v>2.0499999999999998</v>
      </c>
      <c r="R175" s="4">
        <f>IF(
    OR(Dashboard_Query[[#This Row],[Monthly Allowance]]="",Dashboard_Query[[#This Row],[Current Usage]]=""),
    "",
    MAX(0,Dashboard_Query[[#This Row],[Monthly Allowance]]-Dashboard_Query[[#This Row],[Current Usage]])
)</f>
        <v>497.95</v>
      </c>
      <c r="S175" s="9">
        <f>IF(OR(Dashboard_Query[[#This Row],[Monthly Allowance]]="",Dashboard_Query[[#This Row],[Current Usage]]=""),"",Dashboard_Query[[#This Row],[Current Usage]]/Dashboard_Query[[#This Row],[Monthly Allowance]])</f>
        <v>4.0999999999999995E-3</v>
      </c>
      <c r="T175" s="9">
        <f>IF(Dashboard_Query[[#This Row],[% Used]]="","",1-Dashboard_Query[[#This Row],[% Used]])</f>
        <v>0.99590000000000001</v>
      </c>
      <c r="U175" s="4">
        <f>IF(OR(Dashboard_Query[[#This Row],[Monthly Allowance]]="",Dashboard_Query[[#This Row],[Current Usage]]=""),"",MAX(0,Dashboard_Query[[#This Row],[Current Usage]]-Dashboard_Query[[#This Row],[Monthly Allowance]]))</f>
        <v>0</v>
      </c>
      <c r="V175" s="4" t="str">
        <f>IF(Dashboard_Query[[#This Row],[Monthly Allowance]]="","",IF(Dashboard_Query[[#This Row],[Overage]]&gt;0,"OVER",IF(Dashboard_Query[[#This Row],[% Used]]&gt;=0.8,"WARNING","OK")))</f>
        <v>OK</v>
      </c>
      <c r="W175" s="1"/>
      <c r="X175" s="1"/>
    </row>
    <row r="176" spans="1:24" hidden="1">
      <c r="A176" s="4" t="s">
        <v>243</v>
      </c>
      <c r="B176" s="4">
        <v>814609</v>
      </c>
      <c r="C176" s="4"/>
      <c r="D176" s="4"/>
      <c r="E176" s="4"/>
      <c r="F176" s="4"/>
      <c r="G176" s="6"/>
      <c r="H176" s="6"/>
      <c r="I176" s="32"/>
      <c r="J176" s="1"/>
      <c r="K176" s="4">
        <v>1000</v>
      </c>
      <c r="M176" s="4" t="s">
        <v>74</v>
      </c>
      <c r="N176" s="6"/>
      <c r="O176" s="1">
        <v>50</v>
      </c>
      <c r="P176" s="4">
        <v>0.41</v>
      </c>
      <c r="Q176" s="4">
        <v>0.41</v>
      </c>
      <c r="R176" s="4">
        <f>IF(
    OR(Dashboard_Query[[#This Row],[Monthly Allowance]]="",Dashboard_Query[[#This Row],[Current Usage]]=""),
    "",
    MAX(0,Dashboard_Query[[#This Row],[Monthly Allowance]]-Dashboard_Query[[#This Row],[Current Usage]])
)</f>
        <v>999.59</v>
      </c>
      <c r="S176" s="9">
        <f>IF(OR(Dashboard_Query[[#This Row],[Monthly Allowance]]="",Dashboard_Query[[#This Row],[Current Usage]]=""),"",Dashboard_Query[[#This Row],[Current Usage]]/Dashboard_Query[[#This Row],[Monthly Allowance]])</f>
        <v>4.0999999999999999E-4</v>
      </c>
      <c r="T176" s="9">
        <f>IF(Dashboard_Query[[#This Row],[% Used]]="","",1-Dashboard_Query[[#This Row],[% Used]])</f>
        <v>0.99958999999999998</v>
      </c>
      <c r="U176" s="4">
        <f>IF(OR(Dashboard_Query[[#This Row],[Monthly Allowance]]="",Dashboard_Query[[#This Row],[Current Usage]]=""),"",MAX(0,Dashboard_Query[[#This Row],[Current Usage]]-Dashboard_Query[[#This Row],[Monthly Allowance]]))</f>
        <v>0</v>
      </c>
      <c r="V176" s="4" t="str">
        <f>IF(Dashboard_Query[[#This Row],[Monthly Allowance]]="","",IF(Dashboard_Query[[#This Row],[Overage]]&gt;0,"OVER",IF(Dashboard_Query[[#This Row],[% Used]]&gt;=0.8,"WARNING","OK")))</f>
        <v>OK</v>
      </c>
      <c r="W176" s="1"/>
      <c r="X176" s="1"/>
    </row>
    <row r="177" spans="1:24">
      <c r="A177" s="4" t="s">
        <v>244</v>
      </c>
      <c r="B177" s="4">
        <v>814457</v>
      </c>
      <c r="C177" s="4" t="s">
        <v>245</v>
      </c>
      <c r="D177" s="4" t="s">
        <v>246</v>
      </c>
      <c r="E177" s="4" t="s">
        <v>247</v>
      </c>
      <c r="F177" s="4">
        <v>211121151</v>
      </c>
      <c r="G177" s="6">
        <v>46222</v>
      </c>
      <c r="H177" s="6">
        <v>46222</v>
      </c>
      <c r="I177" s="32">
        <v>46253</v>
      </c>
      <c r="J177" s="1">
        <v>30</v>
      </c>
      <c r="K177" s="4">
        <v>500</v>
      </c>
      <c r="M177" s="4" t="s">
        <v>39</v>
      </c>
      <c r="N177" s="6">
        <v>46222</v>
      </c>
      <c r="O177" s="1">
        <v>50</v>
      </c>
      <c r="P177" s="4">
        <v>0.39</v>
      </c>
      <c r="Q177" s="4">
        <v>0.39</v>
      </c>
      <c r="R177" s="4">
        <f>IF(
    OR(Dashboard_Query[[#This Row],[Monthly Allowance]]="",Dashboard_Query[[#This Row],[Current Usage]]=""),
    "",
    MAX(0,Dashboard_Query[[#This Row],[Monthly Allowance]]-Dashboard_Query[[#This Row],[Current Usage]])
)</f>
        <v>499.61</v>
      </c>
      <c r="S177" s="9">
        <f>IF(OR(Dashboard_Query[[#This Row],[Monthly Allowance]]="",Dashboard_Query[[#This Row],[Current Usage]]=""),"",Dashboard_Query[[#This Row],[Current Usage]]/Dashboard_Query[[#This Row],[Monthly Allowance]])</f>
        <v>7.7999999999999999E-4</v>
      </c>
      <c r="T177" s="9">
        <f>IF(Dashboard_Query[[#This Row],[% Used]]="","",1-Dashboard_Query[[#This Row],[% Used]])</f>
        <v>0.99922</v>
      </c>
      <c r="U177" s="4">
        <f>IF(OR(Dashboard_Query[[#This Row],[Monthly Allowance]]="",Dashboard_Query[[#This Row],[Current Usage]]=""),"",MAX(0,Dashboard_Query[[#This Row],[Current Usage]]-Dashboard_Query[[#This Row],[Monthly Allowance]]))</f>
        <v>0</v>
      </c>
      <c r="V177" s="4" t="str">
        <f>IF(Dashboard_Query[[#This Row],[Monthly Allowance]]="","",IF(Dashboard_Query[[#This Row],[Overage]]&gt;0,"OVER",IF(Dashboard_Query[[#This Row],[% Used]]&gt;=0.8,"WARNING","OK")))</f>
        <v>OK</v>
      </c>
      <c r="W177" s="1"/>
      <c r="X177" s="1"/>
    </row>
    <row r="178" spans="1:24" hidden="1">
      <c r="A178" s="4" t="s">
        <v>248</v>
      </c>
      <c r="B178" s="4">
        <v>814445</v>
      </c>
      <c r="C178" s="4"/>
      <c r="D178" s="4"/>
      <c r="E178" s="4"/>
      <c r="F178" s="4"/>
      <c r="G178" s="6"/>
      <c r="H178" s="6"/>
      <c r="I178" s="32"/>
      <c r="J178" s="1"/>
      <c r="K178" s="4">
        <v>500</v>
      </c>
      <c r="M178" s="4" t="s">
        <v>74</v>
      </c>
      <c r="N178" s="6"/>
      <c r="O178" s="1">
        <v>50</v>
      </c>
      <c r="P178" s="4">
        <v>0.34</v>
      </c>
      <c r="Q178" s="4">
        <v>0.34</v>
      </c>
      <c r="R178" s="4">
        <f>IF(
    OR(Dashboard_Query[[#This Row],[Monthly Allowance]]="",Dashboard_Query[[#This Row],[Current Usage]]=""),
    "",
    MAX(0,Dashboard_Query[[#This Row],[Monthly Allowance]]-Dashboard_Query[[#This Row],[Current Usage]])
)</f>
        <v>499.66</v>
      </c>
      <c r="S178" s="9">
        <f>IF(OR(Dashboard_Query[[#This Row],[Monthly Allowance]]="",Dashboard_Query[[#This Row],[Current Usage]]=""),"",Dashboard_Query[[#This Row],[Current Usage]]/Dashboard_Query[[#This Row],[Monthly Allowance]])</f>
        <v>6.8000000000000005E-4</v>
      </c>
      <c r="T178" s="9">
        <f>IF(Dashboard_Query[[#This Row],[% Used]]="","",1-Dashboard_Query[[#This Row],[% Used]])</f>
        <v>0.99931999999999999</v>
      </c>
      <c r="U178" s="4">
        <f>IF(OR(Dashboard_Query[[#This Row],[Monthly Allowance]]="",Dashboard_Query[[#This Row],[Current Usage]]=""),"",MAX(0,Dashboard_Query[[#This Row],[Current Usage]]-Dashboard_Query[[#This Row],[Monthly Allowance]]))</f>
        <v>0</v>
      </c>
      <c r="V178" s="4" t="str">
        <f>IF(Dashboard_Query[[#This Row],[Monthly Allowance]]="","",IF(Dashboard_Query[[#This Row],[Overage]]&gt;0,"OVER",IF(Dashboard_Query[[#This Row],[% Used]]&gt;=0.8,"WARNING","OK")))</f>
        <v>OK</v>
      </c>
      <c r="W178" s="1"/>
      <c r="X178" s="1"/>
    </row>
    <row r="179" spans="1:24">
      <c r="A179" s="4" t="s">
        <v>249</v>
      </c>
      <c r="B179" s="4">
        <v>814438</v>
      </c>
      <c r="C179" s="4" t="s">
        <v>146</v>
      </c>
      <c r="D179" s="4" t="s">
        <v>147</v>
      </c>
      <c r="E179" s="4" t="s">
        <v>148</v>
      </c>
      <c r="F179" s="4">
        <v>211121149</v>
      </c>
      <c r="G179" s="6">
        <v>46221</v>
      </c>
      <c r="H179" s="6">
        <v>46221</v>
      </c>
      <c r="I179" s="32">
        <v>46252</v>
      </c>
      <c r="J179" s="1">
        <v>29</v>
      </c>
      <c r="K179" s="4">
        <v>500</v>
      </c>
      <c r="M179" s="4" t="s">
        <v>39</v>
      </c>
      <c r="N179" s="6">
        <v>46221</v>
      </c>
      <c r="O179" s="1">
        <v>50</v>
      </c>
      <c r="P179" s="4">
        <v>0.16</v>
      </c>
      <c r="Q179" s="4">
        <v>0.16</v>
      </c>
      <c r="R179" s="4">
        <f>IF(
    OR(Dashboard_Query[[#This Row],[Monthly Allowance]]="",Dashboard_Query[[#This Row],[Current Usage]]=""),
    "",
    MAX(0,Dashboard_Query[[#This Row],[Monthly Allowance]]-Dashboard_Query[[#This Row],[Current Usage]])
)</f>
        <v>499.84</v>
      </c>
      <c r="S179" s="9">
        <f>IF(OR(Dashboard_Query[[#This Row],[Monthly Allowance]]="",Dashboard_Query[[#This Row],[Current Usage]]=""),"",Dashboard_Query[[#This Row],[Current Usage]]/Dashboard_Query[[#This Row],[Monthly Allowance]])</f>
        <v>3.2000000000000003E-4</v>
      </c>
      <c r="T179" s="9">
        <f>IF(Dashboard_Query[[#This Row],[% Used]]="","",1-Dashboard_Query[[#This Row],[% Used]])</f>
        <v>0.99968000000000001</v>
      </c>
      <c r="U179" s="4">
        <f>IF(OR(Dashboard_Query[[#This Row],[Monthly Allowance]]="",Dashboard_Query[[#This Row],[Current Usage]]=""),"",MAX(0,Dashboard_Query[[#This Row],[Current Usage]]-Dashboard_Query[[#This Row],[Monthly Allowance]]))</f>
        <v>0</v>
      </c>
      <c r="V179" s="4" t="str">
        <f>IF(Dashboard_Query[[#This Row],[Monthly Allowance]]="","",IF(Dashboard_Query[[#This Row],[Overage]]&gt;0,"OVER",IF(Dashboard_Query[[#This Row],[% Used]]&gt;=0.8,"WARNING","OK")))</f>
        <v>OK</v>
      </c>
      <c r="W179" s="1"/>
      <c r="X179" s="1"/>
    </row>
    <row r="180" spans="1:24">
      <c r="A180" s="4" t="s">
        <v>250</v>
      </c>
      <c r="B180" s="4">
        <v>814641</v>
      </c>
      <c r="C180" s="4" t="s">
        <v>245</v>
      </c>
      <c r="D180" s="4" t="s">
        <v>246</v>
      </c>
      <c r="E180" s="4" t="s">
        <v>247</v>
      </c>
      <c r="F180" s="4">
        <v>211121151</v>
      </c>
      <c r="G180" s="6">
        <v>46222</v>
      </c>
      <c r="H180" s="6">
        <v>46222</v>
      </c>
      <c r="I180" s="32">
        <v>46253</v>
      </c>
      <c r="J180" s="1">
        <v>30</v>
      </c>
      <c r="K180" s="4">
        <v>1000</v>
      </c>
      <c r="M180" s="4" t="s">
        <v>39</v>
      </c>
      <c r="N180" s="6">
        <v>46222</v>
      </c>
      <c r="O180" s="1">
        <v>50</v>
      </c>
      <c r="P180" s="4">
        <v>0.14000000000000001</v>
      </c>
      <c r="Q180" s="4">
        <v>0.14000000000000001</v>
      </c>
      <c r="R180" s="4">
        <f>IF(
    OR(Dashboard_Query[[#This Row],[Monthly Allowance]]="",Dashboard_Query[[#This Row],[Current Usage]]=""),
    "",
    MAX(0,Dashboard_Query[[#This Row],[Monthly Allowance]]-Dashboard_Query[[#This Row],[Current Usage]])
)</f>
        <v>999.86</v>
      </c>
      <c r="S180" s="9">
        <f>IF(OR(Dashboard_Query[[#This Row],[Monthly Allowance]]="",Dashboard_Query[[#This Row],[Current Usage]]=""),"",Dashboard_Query[[#This Row],[Current Usage]]/Dashboard_Query[[#This Row],[Monthly Allowance]])</f>
        <v>1.4000000000000001E-4</v>
      </c>
      <c r="T180" s="9">
        <f>IF(Dashboard_Query[[#This Row],[% Used]]="","",1-Dashboard_Query[[#This Row],[% Used]])</f>
        <v>0.99985999999999997</v>
      </c>
      <c r="U180" s="4">
        <f>IF(OR(Dashboard_Query[[#This Row],[Monthly Allowance]]="",Dashboard_Query[[#This Row],[Current Usage]]=""),"",MAX(0,Dashboard_Query[[#This Row],[Current Usage]]-Dashboard_Query[[#This Row],[Monthly Allowance]]))</f>
        <v>0</v>
      </c>
      <c r="V180" s="4" t="str">
        <f>IF(Dashboard_Query[[#This Row],[Monthly Allowance]]="","",IF(Dashboard_Query[[#This Row],[Overage]]&gt;0,"OVER",IF(Dashboard_Query[[#This Row],[% Used]]&gt;=0.8,"WARNING","OK")))</f>
        <v>OK</v>
      </c>
      <c r="W180" s="1"/>
      <c r="X180" s="1"/>
    </row>
    <row r="181" spans="1:24" hidden="1">
      <c r="A181" s="4" t="s">
        <v>251</v>
      </c>
      <c r="B181" s="4">
        <v>814640</v>
      </c>
      <c r="C181" s="4"/>
      <c r="D181" s="4"/>
      <c r="E181" s="4"/>
      <c r="F181" s="4"/>
      <c r="G181" s="6"/>
      <c r="H181" s="6"/>
      <c r="I181" s="32"/>
      <c r="J181" s="1"/>
      <c r="K181" s="4">
        <v>1000</v>
      </c>
      <c r="M181" s="4" t="s">
        <v>74</v>
      </c>
      <c r="N181" s="6"/>
      <c r="O181" s="1">
        <v>50</v>
      </c>
      <c r="P181" s="4">
        <v>0.12</v>
      </c>
      <c r="Q181" s="4">
        <v>0.12</v>
      </c>
      <c r="R181" s="4">
        <f>IF(
    OR(Dashboard_Query[[#This Row],[Monthly Allowance]]="",Dashboard_Query[[#This Row],[Current Usage]]=""),
    "",
    MAX(0,Dashboard_Query[[#This Row],[Monthly Allowance]]-Dashboard_Query[[#This Row],[Current Usage]])
)</f>
        <v>999.88</v>
      </c>
      <c r="S181" s="9">
        <f>IF(OR(Dashboard_Query[[#This Row],[Monthly Allowance]]="",Dashboard_Query[[#This Row],[Current Usage]]=""),"",Dashboard_Query[[#This Row],[Current Usage]]/Dashboard_Query[[#This Row],[Monthly Allowance]])</f>
        <v>1.1999999999999999E-4</v>
      </c>
      <c r="T181" s="9">
        <f>IF(Dashboard_Query[[#This Row],[% Used]]="","",1-Dashboard_Query[[#This Row],[% Used]])</f>
        <v>0.99987999999999999</v>
      </c>
      <c r="U181" s="4">
        <f>IF(OR(Dashboard_Query[[#This Row],[Monthly Allowance]]="",Dashboard_Query[[#This Row],[Current Usage]]=""),"",MAX(0,Dashboard_Query[[#This Row],[Current Usage]]-Dashboard_Query[[#This Row],[Monthly Allowance]]))</f>
        <v>0</v>
      </c>
      <c r="V181" s="4" t="str">
        <f>IF(Dashboard_Query[[#This Row],[Monthly Allowance]]="","",IF(Dashboard_Query[[#This Row],[Overage]]&gt;0,"OVER",IF(Dashboard_Query[[#This Row],[% Used]]&gt;=0.8,"WARNING","OK")))</f>
        <v>OK</v>
      </c>
      <c r="W181" s="1"/>
      <c r="X181" s="1"/>
    </row>
    <row r="182" spans="1:24">
      <c r="A182" s="4" t="s">
        <v>252</v>
      </c>
      <c r="B182" s="4">
        <v>814437</v>
      </c>
      <c r="C182" s="4" t="s">
        <v>146</v>
      </c>
      <c r="D182" s="4" t="s">
        <v>147</v>
      </c>
      <c r="E182" s="4" t="s">
        <v>148</v>
      </c>
      <c r="F182" s="4">
        <v>211121149</v>
      </c>
      <c r="G182" s="6">
        <v>46221</v>
      </c>
      <c r="H182" s="6">
        <v>46221</v>
      </c>
      <c r="I182" s="32">
        <v>46252</v>
      </c>
      <c r="J182" s="1">
        <v>29</v>
      </c>
      <c r="K182" s="4">
        <v>500</v>
      </c>
      <c r="M182" s="4" t="s">
        <v>39</v>
      </c>
      <c r="N182" s="6">
        <v>46221</v>
      </c>
      <c r="O182" s="1">
        <v>50</v>
      </c>
      <c r="P182" s="4">
        <v>0.12</v>
      </c>
      <c r="Q182" s="4">
        <v>0.12</v>
      </c>
      <c r="R182" s="4">
        <f>IF(
    OR(Dashboard_Query[[#This Row],[Monthly Allowance]]="",Dashboard_Query[[#This Row],[Current Usage]]=""),
    "",
    MAX(0,Dashboard_Query[[#This Row],[Monthly Allowance]]-Dashboard_Query[[#This Row],[Current Usage]])
)</f>
        <v>499.88</v>
      </c>
      <c r="S182" s="9">
        <f>IF(OR(Dashboard_Query[[#This Row],[Monthly Allowance]]="",Dashboard_Query[[#This Row],[Current Usage]]=""),"",Dashboard_Query[[#This Row],[Current Usage]]/Dashboard_Query[[#This Row],[Monthly Allowance]])</f>
        <v>2.3999999999999998E-4</v>
      </c>
      <c r="T182" s="9">
        <f>IF(Dashboard_Query[[#This Row],[% Used]]="","",1-Dashboard_Query[[#This Row],[% Used]])</f>
        <v>0.99975999999999998</v>
      </c>
      <c r="U182" s="4">
        <f>IF(OR(Dashboard_Query[[#This Row],[Monthly Allowance]]="",Dashboard_Query[[#This Row],[Current Usage]]=""),"",MAX(0,Dashboard_Query[[#This Row],[Current Usage]]-Dashboard_Query[[#This Row],[Monthly Allowance]]))</f>
        <v>0</v>
      </c>
      <c r="V182" s="4" t="str">
        <f>IF(Dashboard_Query[[#This Row],[Monthly Allowance]]="","",IF(Dashboard_Query[[#This Row],[Overage]]&gt;0,"OVER",IF(Dashboard_Query[[#This Row],[% Used]]&gt;=0.8,"WARNING","OK")))</f>
        <v>OK</v>
      </c>
      <c r="W182" s="1"/>
      <c r="X182" s="1"/>
    </row>
    <row r="183" spans="1:24">
      <c r="A183" s="4" t="s">
        <v>253</v>
      </c>
      <c r="B183" s="4">
        <v>814469</v>
      </c>
      <c r="C183" s="4" t="s">
        <v>146</v>
      </c>
      <c r="D183" s="4" t="s">
        <v>147</v>
      </c>
      <c r="E183" s="4" t="s">
        <v>148</v>
      </c>
      <c r="F183" s="4">
        <v>211121149</v>
      </c>
      <c r="G183" s="6">
        <v>46221</v>
      </c>
      <c r="H183" s="6">
        <v>46221</v>
      </c>
      <c r="I183" s="32">
        <v>46252</v>
      </c>
      <c r="J183" s="1">
        <v>29</v>
      </c>
      <c r="K183" s="4">
        <v>500</v>
      </c>
      <c r="M183" s="4" t="s">
        <v>39</v>
      </c>
      <c r="N183" s="6">
        <v>46221</v>
      </c>
      <c r="O183" s="1">
        <v>50</v>
      </c>
      <c r="P183" s="4">
        <v>0.11</v>
      </c>
      <c r="Q183" s="4">
        <v>0.11</v>
      </c>
      <c r="R183" s="4">
        <f>IF(
    OR(Dashboard_Query[[#This Row],[Monthly Allowance]]="",Dashboard_Query[[#This Row],[Current Usage]]=""),
    "",
    MAX(0,Dashboard_Query[[#This Row],[Monthly Allowance]]-Dashboard_Query[[#This Row],[Current Usage]])
)</f>
        <v>499.89</v>
      </c>
      <c r="S183" s="9">
        <f>IF(OR(Dashboard_Query[[#This Row],[Monthly Allowance]]="",Dashboard_Query[[#This Row],[Current Usage]]=""),"",Dashboard_Query[[#This Row],[Current Usage]]/Dashboard_Query[[#This Row],[Monthly Allowance]])</f>
        <v>2.2000000000000001E-4</v>
      </c>
      <c r="T183" s="9">
        <f>IF(Dashboard_Query[[#This Row],[% Used]]="","",1-Dashboard_Query[[#This Row],[% Used]])</f>
        <v>0.99978</v>
      </c>
      <c r="U183" s="4">
        <f>IF(OR(Dashboard_Query[[#This Row],[Monthly Allowance]]="",Dashboard_Query[[#This Row],[Current Usage]]=""),"",MAX(0,Dashboard_Query[[#This Row],[Current Usage]]-Dashboard_Query[[#This Row],[Monthly Allowance]]))</f>
        <v>0</v>
      </c>
      <c r="V183" s="4" t="str">
        <f>IF(Dashboard_Query[[#This Row],[Monthly Allowance]]="","",IF(Dashboard_Query[[#This Row],[Overage]]&gt;0,"OVER",IF(Dashboard_Query[[#This Row],[% Used]]&gt;=0.8,"WARNING","OK")))</f>
        <v>OK</v>
      </c>
      <c r="W183" s="1"/>
      <c r="X183" s="1"/>
    </row>
    <row r="184" spans="1:24" hidden="1">
      <c r="A184" s="4" t="s">
        <v>254</v>
      </c>
      <c r="B184" s="4">
        <v>814643</v>
      </c>
      <c r="C184" s="4"/>
      <c r="D184" s="4"/>
      <c r="E184" s="4"/>
      <c r="F184" s="4"/>
      <c r="G184" s="6"/>
      <c r="H184" s="6"/>
      <c r="I184" s="32"/>
      <c r="J184" s="1"/>
      <c r="K184" s="4">
        <v>1000</v>
      </c>
      <c r="M184" s="4" t="s">
        <v>74</v>
      </c>
      <c r="N184" s="6"/>
      <c r="O184" s="1">
        <v>50</v>
      </c>
      <c r="P184" s="4">
        <v>0.1</v>
      </c>
      <c r="Q184" s="4">
        <v>0.1</v>
      </c>
      <c r="R184" s="4">
        <f>IF(
    OR(Dashboard_Query[[#This Row],[Monthly Allowance]]="",Dashboard_Query[[#This Row],[Current Usage]]=""),
    "",
    MAX(0,Dashboard_Query[[#This Row],[Monthly Allowance]]-Dashboard_Query[[#This Row],[Current Usage]])
)</f>
        <v>999.9</v>
      </c>
      <c r="S184" s="9">
        <f>IF(OR(Dashboard_Query[[#This Row],[Monthly Allowance]]="",Dashboard_Query[[#This Row],[Current Usage]]=""),"",Dashboard_Query[[#This Row],[Current Usage]]/Dashboard_Query[[#This Row],[Monthly Allowance]])</f>
        <v>1E-4</v>
      </c>
      <c r="T184" s="9">
        <f>IF(Dashboard_Query[[#This Row],[% Used]]="","",1-Dashboard_Query[[#This Row],[% Used]])</f>
        <v>0.99990000000000001</v>
      </c>
      <c r="U184" s="4">
        <f>IF(OR(Dashboard_Query[[#This Row],[Monthly Allowance]]="",Dashboard_Query[[#This Row],[Current Usage]]=""),"",MAX(0,Dashboard_Query[[#This Row],[Current Usage]]-Dashboard_Query[[#This Row],[Monthly Allowance]]))</f>
        <v>0</v>
      </c>
      <c r="V184" s="4" t="str">
        <f>IF(Dashboard_Query[[#This Row],[Monthly Allowance]]="","",IF(Dashboard_Query[[#This Row],[Overage]]&gt;0,"OVER",IF(Dashboard_Query[[#This Row],[% Used]]&gt;=0.8,"WARNING","OK")))</f>
        <v>OK</v>
      </c>
      <c r="W184" s="1"/>
      <c r="X184" s="1"/>
    </row>
    <row r="185" spans="1:24" hidden="1">
      <c r="A185" s="4" t="s">
        <v>255</v>
      </c>
      <c r="B185" s="4">
        <v>814495</v>
      </c>
      <c r="C185" s="4"/>
      <c r="D185" s="4"/>
      <c r="E185" s="4"/>
      <c r="F185" s="4"/>
      <c r="G185" s="6"/>
      <c r="H185" s="6"/>
      <c r="I185" s="32"/>
      <c r="J185" s="1"/>
      <c r="K185" s="4">
        <v>1000</v>
      </c>
      <c r="M185" s="4" t="s">
        <v>74</v>
      </c>
      <c r="N185" s="6"/>
      <c r="O185" s="1">
        <v>50</v>
      </c>
      <c r="P185" s="4">
        <v>0.1</v>
      </c>
      <c r="Q185" s="4">
        <v>0.1</v>
      </c>
      <c r="R185" s="4">
        <f>IF(
    OR(Dashboard_Query[[#This Row],[Monthly Allowance]]="",Dashboard_Query[[#This Row],[Current Usage]]=""),
    "",
    MAX(0,Dashboard_Query[[#This Row],[Monthly Allowance]]-Dashboard_Query[[#This Row],[Current Usage]])
)</f>
        <v>999.9</v>
      </c>
      <c r="S185" s="9">
        <f>IF(OR(Dashboard_Query[[#This Row],[Monthly Allowance]]="",Dashboard_Query[[#This Row],[Current Usage]]=""),"",Dashboard_Query[[#This Row],[Current Usage]]/Dashboard_Query[[#This Row],[Monthly Allowance]])</f>
        <v>1E-4</v>
      </c>
      <c r="T185" s="9">
        <f>IF(Dashboard_Query[[#This Row],[% Used]]="","",1-Dashboard_Query[[#This Row],[% Used]])</f>
        <v>0.99990000000000001</v>
      </c>
      <c r="U185" s="4">
        <f>IF(OR(Dashboard_Query[[#This Row],[Monthly Allowance]]="",Dashboard_Query[[#This Row],[Current Usage]]=""),"",MAX(0,Dashboard_Query[[#This Row],[Current Usage]]-Dashboard_Query[[#This Row],[Monthly Allowance]]))</f>
        <v>0</v>
      </c>
      <c r="V185" s="4" t="str">
        <f>IF(Dashboard_Query[[#This Row],[Monthly Allowance]]="","",IF(Dashboard_Query[[#This Row],[Overage]]&gt;0,"OVER",IF(Dashboard_Query[[#This Row],[% Used]]&gt;=0.8,"WARNING","OK")))</f>
        <v>OK</v>
      </c>
      <c r="W185" s="1"/>
      <c r="X185" s="1"/>
    </row>
    <row r="186" spans="1:24">
      <c r="A186" s="4" t="s">
        <v>256</v>
      </c>
      <c r="B186" s="4">
        <v>814440</v>
      </c>
      <c r="C186" s="4" t="s">
        <v>245</v>
      </c>
      <c r="D186" s="4" t="s">
        <v>246</v>
      </c>
      <c r="E186" s="4" t="s">
        <v>247</v>
      </c>
      <c r="F186" s="4">
        <v>211121151</v>
      </c>
      <c r="G186" s="6">
        <v>46222</v>
      </c>
      <c r="H186" s="6">
        <v>46222</v>
      </c>
      <c r="I186" s="32">
        <v>46253</v>
      </c>
      <c r="J186" s="1">
        <v>30</v>
      </c>
      <c r="K186" s="4">
        <v>500</v>
      </c>
      <c r="M186" s="4" t="s">
        <v>39</v>
      </c>
      <c r="N186" s="6">
        <v>46222</v>
      </c>
      <c r="O186" s="1">
        <v>50</v>
      </c>
      <c r="P186" s="4">
        <v>0.1</v>
      </c>
      <c r="Q186" s="4">
        <v>0.1</v>
      </c>
      <c r="R186" s="4">
        <f>IF(
    OR(Dashboard_Query[[#This Row],[Monthly Allowance]]="",Dashboard_Query[[#This Row],[Current Usage]]=""),
    "",
    MAX(0,Dashboard_Query[[#This Row],[Monthly Allowance]]-Dashboard_Query[[#This Row],[Current Usage]])
)</f>
        <v>499.9</v>
      </c>
      <c r="S186" s="9">
        <f>IF(OR(Dashboard_Query[[#This Row],[Monthly Allowance]]="",Dashboard_Query[[#This Row],[Current Usage]]=""),"",Dashboard_Query[[#This Row],[Current Usage]]/Dashboard_Query[[#This Row],[Monthly Allowance]])</f>
        <v>2.0000000000000001E-4</v>
      </c>
      <c r="T186" s="9">
        <f>IF(Dashboard_Query[[#This Row],[% Used]]="","",1-Dashboard_Query[[#This Row],[% Used]])</f>
        <v>0.99980000000000002</v>
      </c>
      <c r="U186" s="4">
        <f>IF(OR(Dashboard_Query[[#This Row],[Monthly Allowance]]="",Dashboard_Query[[#This Row],[Current Usage]]=""),"",MAX(0,Dashboard_Query[[#This Row],[Current Usage]]-Dashboard_Query[[#This Row],[Monthly Allowance]]))</f>
        <v>0</v>
      </c>
      <c r="V186" s="4" t="str">
        <f>IF(Dashboard_Query[[#This Row],[Monthly Allowance]]="","",IF(Dashboard_Query[[#This Row],[Overage]]&gt;0,"OVER",IF(Dashboard_Query[[#This Row],[% Used]]&gt;=0.8,"WARNING","OK")))</f>
        <v>OK</v>
      </c>
      <c r="W186" s="1"/>
      <c r="X186" s="1"/>
    </row>
    <row r="187" spans="1:24" hidden="1">
      <c r="A187" s="4" t="s">
        <v>257</v>
      </c>
      <c r="B187" s="4">
        <v>812809</v>
      </c>
      <c r="C187" s="4"/>
      <c r="D187" s="4"/>
      <c r="E187" s="4"/>
      <c r="F187" s="4"/>
      <c r="G187" s="6"/>
      <c r="H187" s="6"/>
      <c r="I187" s="32"/>
      <c r="J187" s="1"/>
      <c r="K187" s="4">
        <v>500</v>
      </c>
      <c r="M187" s="4" t="s">
        <v>74</v>
      </c>
      <c r="N187" s="6"/>
      <c r="O187" s="1">
        <v>500</v>
      </c>
      <c r="P187" s="4">
        <v>0</v>
      </c>
      <c r="Q187" s="4">
        <v>0</v>
      </c>
      <c r="R187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187" s="9">
        <f>IF(OR(Dashboard_Query[[#This Row],[Monthly Allowance]]="",Dashboard_Query[[#This Row],[Current Usage]]=""),"",Dashboard_Query[[#This Row],[Current Usage]]/Dashboard_Query[[#This Row],[Monthly Allowance]])</f>
        <v>0</v>
      </c>
      <c r="T187" s="9">
        <f>IF(Dashboard_Query[[#This Row],[% Used]]="","",1-Dashboard_Query[[#This Row],[% Used]])</f>
        <v>1</v>
      </c>
      <c r="U187" s="4">
        <f>IF(OR(Dashboard_Query[[#This Row],[Monthly Allowance]]="",Dashboard_Query[[#This Row],[Current Usage]]=""),"",MAX(0,Dashboard_Query[[#This Row],[Current Usage]]-Dashboard_Query[[#This Row],[Monthly Allowance]]))</f>
        <v>0</v>
      </c>
      <c r="V187" s="4" t="str">
        <f>IF(Dashboard_Query[[#This Row],[Monthly Allowance]]="","",IF(Dashboard_Query[[#This Row],[Overage]]&gt;0,"OVER",IF(Dashboard_Query[[#This Row],[% Used]]&gt;=0.8,"WARNING","OK")))</f>
        <v>OK</v>
      </c>
      <c r="W187" s="1"/>
      <c r="X187" s="1"/>
    </row>
    <row r="188" spans="1:24">
      <c r="A188" s="4" t="s">
        <v>258</v>
      </c>
      <c r="B188" s="4">
        <v>814449</v>
      </c>
      <c r="C188" s="4" t="s">
        <v>245</v>
      </c>
      <c r="D188" s="4" t="s">
        <v>246</v>
      </c>
      <c r="E188" s="4" t="s">
        <v>247</v>
      </c>
      <c r="F188" s="4">
        <v>211121151</v>
      </c>
      <c r="G188" s="6">
        <v>46222</v>
      </c>
      <c r="H188" s="6">
        <v>46222</v>
      </c>
      <c r="I188" s="32">
        <v>46253</v>
      </c>
      <c r="J188" s="1">
        <v>30</v>
      </c>
      <c r="K188" s="4">
        <v>500</v>
      </c>
      <c r="M188" s="4" t="s">
        <v>39</v>
      </c>
      <c r="N188" s="6">
        <v>46222</v>
      </c>
      <c r="O188" s="1">
        <v>50</v>
      </c>
      <c r="P188" s="4">
        <v>0.1</v>
      </c>
      <c r="Q188" s="4">
        <v>0.1</v>
      </c>
      <c r="R188" s="4">
        <f>IF(
    OR(Dashboard_Query[[#This Row],[Monthly Allowance]]="",Dashboard_Query[[#This Row],[Current Usage]]=""),
    "",
    MAX(0,Dashboard_Query[[#This Row],[Monthly Allowance]]-Dashboard_Query[[#This Row],[Current Usage]])
)</f>
        <v>499.9</v>
      </c>
      <c r="S188" s="9">
        <f>IF(OR(Dashboard_Query[[#This Row],[Monthly Allowance]]="",Dashboard_Query[[#This Row],[Current Usage]]=""),"",Dashboard_Query[[#This Row],[Current Usage]]/Dashboard_Query[[#This Row],[Monthly Allowance]])</f>
        <v>2.0000000000000001E-4</v>
      </c>
      <c r="T188" s="9">
        <f>IF(Dashboard_Query[[#This Row],[% Used]]="","",1-Dashboard_Query[[#This Row],[% Used]])</f>
        <v>0.99980000000000002</v>
      </c>
      <c r="U188" s="4">
        <f>IF(OR(Dashboard_Query[[#This Row],[Monthly Allowance]]="",Dashboard_Query[[#This Row],[Current Usage]]=""),"",MAX(0,Dashboard_Query[[#This Row],[Current Usage]]-Dashboard_Query[[#This Row],[Monthly Allowance]]))</f>
        <v>0</v>
      </c>
      <c r="V188" s="4" t="str">
        <f>IF(Dashboard_Query[[#This Row],[Monthly Allowance]]="","",IF(Dashboard_Query[[#This Row],[Overage]]&gt;0,"OVER",IF(Dashboard_Query[[#This Row],[% Used]]&gt;=0.8,"WARNING","OK")))</f>
        <v>OK</v>
      </c>
      <c r="W188" s="1"/>
      <c r="X188" s="1"/>
    </row>
    <row r="189" spans="1:24" hidden="1">
      <c r="A189" s="4" t="s">
        <v>259</v>
      </c>
      <c r="B189" s="4">
        <v>814444</v>
      </c>
      <c r="C189" s="4"/>
      <c r="D189" s="4"/>
      <c r="E189" s="4"/>
      <c r="F189" s="4"/>
      <c r="G189" s="6"/>
      <c r="H189" s="6"/>
      <c r="I189" s="32"/>
      <c r="J189" s="1"/>
      <c r="K189" s="4">
        <v>500</v>
      </c>
      <c r="M189" s="4" t="s">
        <v>74</v>
      </c>
      <c r="N189" s="6"/>
      <c r="O189" s="1">
        <v>50</v>
      </c>
      <c r="P189" s="4">
        <v>0.1</v>
      </c>
      <c r="Q189" s="4">
        <v>0.1</v>
      </c>
      <c r="R189" s="4">
        <f>IF(
    OR(Dashboard_Query[[#This Row],[Monthly Allowance]]="",Dashboard_Query[[#This Row],[Current Usage]]=""),
    "",
    MAX(0,Dashboard_Query[[#This Row],[Monthly Allowance]]-Dashboard_Query[[#This Row],[Current Usage]])
)</f>
        <v>499.9</v>
      </c>
      <c r="S189" s="9">
        <f>IF(OR(Dashboard_Query[[#This Row],[Monthly Allowance]]="",Dashboard_Query[[#This Row],[Current Usage]]=""),"",Dashboard_Query[[#This Row],[Current Usage]]/Dashboard_Query[[#This Row],[Monthly Allowance]])</f>
        <v>2.0000000000000001E-4</v>
      </c>
      <c r="T189" s="9">
        <f>IF(Dashboard_Query[[#This Row],[% Used]]="","",1-Dashboard_Query[[#This Row],[% Used]])</f>
        <v>0.99980000000000002</v>
      </c>
      <c r="U189" s="4">
        <f>IF(OR(Dashboard_Query[[#This Row],[Monthly Allowance]]="",Dashboard_Query[[#This Row],[Current Usage]]=""),"",MAX(0,Dashboard_Query[[#This Row],[Current Usage]]-Dashboard_Query[[#This Row],[Monthly Allowance]]))</f>
        <v>0</v>
      </c>
      <c r="V189" s="4" t="str">
        <f>IF(Dashboard_Query[[#This Row],[Monthly Allowance]]="","",IF(Dashboard_Query[[#This Row],[Overage]]&gt;0,"OVER",IF(Dashboard_Query[[#This Row],[% Used]]&gt;=0.8,"WARNING","OK")))</f>
        <v>OK</v>
      </c>
      <c r="W189" s="1"/>
      <c r="X189" s="1"/>
    </row>
    <row r="190" spans="1:24" hidden="1">
      <c r="A190" s="4" t="s">
        <v>260</v>
      </c>
      <c r="B190" s="4">
        <v>812810</v>
      </c>
      <c r="C190" s="4"/>
      <c r="D190" s="4"/>
      <c r="E190" s="4"/>
      <c r="F190" s="4"/>
      <c r="G190" s="6"/>
      <c r="H190" s="6"/>
      <c r="I190" s="32"/>
      <c r="J190" s="1"/>
      <c r="K190" s="4">
        <v>500</v>
      </c>
      <c r="M190" s="4" t="s">
        <v>74</v>
      </c>
      <c r="N190" s="6"/>
      <c r="O190" s="1">
        <v>50</v>
      </c>
      <c r="P190" s="4">
        <v>0</v>
      </c>
      <c r="Q190" s="4">
        <v>0</v>
      </c>
      <c r="R190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190" s="9">
        <f>IF(OR(Dashboard_Query[[#This Row],[Monthly Allowance]]="",Dashboard_Query[[#This Row],[Current Usage]]=""),"",Dashboard_Query[[#This Row],[Current Usage]]/Dashboard_Query[[#This Row],[Monthly Allowance]])</f>
        <v>0</v>
      </c>
      <c r="T190" s="9">
        <f>IF(Dashboard_Query[[#This Row],[% Used]]="","",1-Dashboard_Query[[#This Row],[% Used]])</f>
        <v>1</v>
      </c>
      <c r="U190" s="4">
        <f>IF(OR(Dashboard_Query[[#This Row],[Monthly Allowance]]="",Dashboard_Query[[#This Row],[Current Usage]]=""),"",MAX(0,Dashboard_Query[[#This Row],[Current Usage]]-Dashboard_Query[[#This Row],[Monthly Allowance]]))</f>
        <v>0</v>
      </c>
      <c r="V190" s="4" t="str">
        <f>IF(Dashboard_Query[[#This Row],[Monthly Allowance]]="","",IF(Dashboard_Query[[#This Row],[Overage]]&gt;0,"OVER",IF(Dashboard_Query[[#This Row],[% Used]]&gt;=0.8,"WARNING","OK")))</f>
        <v>OK</v>
      </c>
      <c r="W190" s="1"/>
      <c r="X190" s="1"/>
    </row>
    <row r="191" spans="1:24" hidden="1">
      <c r="A191" s="4" t="s">
        <v>261</v>
      </c>
      <c r="B191" s="4">
        <v>814448</v>
      </c>
      <c r="C191" s="4"/>
      <c r="D191" s="4"/>
      <c r="E191" s="4"/>
      <c r="F191" s="4"/>
      <c r="G191" s="6"/>
      <c r="H191" s="6"/>
      <c r="I191" s="32"/>
      <c r="J191" s="1"/>
      <c r="K191" s="4">
        <v>500</v>
      </c>
      <c r="M191" s="4" t="s">
        <v>74</v>
      </c>
      <c r="N191" s="6"/>
      <c r="O191" s="1">
        <v>50</v>
      </c>
      <c r="P191" s="4">
        <v>0.1</v>
      </c>
      <c r="Q191" s="4">
        <v>0.1</v>
      </c>
      <c r="R191" s="4">
        <f>IF(
    OR(Dashboard_Query[[#This Row],[Monthly Allowance]]="",Dashboard_Query[[#This Row],[Current Usage]]=""),
    "",
    MAX(0,Dashboard_Query[[#This Row],[Monthly Allowance]]-Dashboard_Query[[#This Row],[Current Usage]])
)</f>
        <v>499.9</v>
      </c>
      <c r="S191" s="9">
        <f>IF(OR(Dashboard_Query[[#This Row],[Monthly Allowance]]="",Dashboard_Query[[#This Row],[Current Usage]]=""),"",Dashboard_Query[[#This Row],[Current Usage]]/Dashboard_Query[[#This Row],[Monthly Allowance]])</f>
        <v>2.0000000000000001E-4</v>
      </c>
      <c r="T191" s="9">
        <f>IF(Dashboard_Query[[#This Row],[% Used]]="","",1-Dashboard_Query[[#This Row],[% Used]])</f>
        <v>0.99980000000000002</v>
      </c>
      <c r="U191" s="4">
        <f>IF(OR(Dashboard_Query[[#This Row],[Monthly Allowance]]="",Dashboard_Query[[#This Row],[Current Usage]]=""),"",MAX(0,Dashboard_Query[[#This Row],[Current Usage]]-Dashboard_Query[[#This Row],[Monthly Allowance]]))</f>
        <v>0</v>
      </c>
      <c r="V191" s="4" t="str">
        <f>IF(Dashboard_Query[[#This Row],[Monthly Allowance]]="","",IF(Dashboard_Query[[#This Row],[Overage]]&gt;0,"OVER",IF(Dashboard_Query[[#This Row],[% Used]]&gt;=0.8,"WARNING","OK")))</f>
        <v>OK</v>
      </c>
      <c r="W191" s="1"/>
      <c r="X191" s="1"/>
    </row>
    <row r="192" spans="1:24">
      <c r="A192" s="4" t="s">
        <v>262</v>
      </c>
      <c r="B192" s="4">
        <v>814441</v>
      </c>
      <c r="C192" s="4" t="s">
        <v>245</v>
      </c>
      <c r="D192" s="4" t="s">
        <v>246</v>
      </c>
      <c r="E192" s="4" t="s">
        <v>247</v>
      </c>
      <c r="F192" s="4">
        <v>211121151</v>
      </c>
      <c r="G192" s="6">
        <v>46222</v>
      </c>
      <c r="H192" s="6">
        <v>46222</v>
      </c>
      <c r="I192" s="32">
        <v>46253</v>
      </c>
      <c r="J192" s="1">
        <v>30</v>
      </c>
      <c r="K192" s="4">
        <v>500</v>
      </c>
      <c r="M192" s="4" t="s">
        <v>39</v>
      </c>
      <c r="N192" s="6">
        <v>46222</v>
      </c>
      <c r="O192" s="1">
        <v>50</v>
      </c>
      <c r="P192" s="4">
        <v>0.1</v>
      </c>
      <c r="Q192" s="4">
        <v>0.1</v>
      </c>
      <c r="R192" s="4">
        <f>IF(
    OR(Dashboard_Query[[#This Row],[Monthly Allowance]]="",Dashboard_Query[[#This Row],[Current Usage]]=""),
    "",
    MAX(0,Dashboard_Query[[#This Row],[Monthly Allowance]]-Dashboard_Query[[#This Row],[Current Usage]])
)</f>
        <v>499.9</v>
      </c>
      <c r="S192" s="9">
        <f>IF(OR(Dashboard_Query[[#This Row],[Monthly Allowance]]="",Dashboard_Query[[#This Row],[Current Usage]]=""),"",Dashboard_Query[[#This Row],[Current Usage]]/Dashboard_Query[[#This Row],[Monthly Allowance]])</f>
        <v>2.0000000000000001E-4</v>
      </c>
      <c r="T192" s="9">
        <f>IF(Dashboard_Query[[#This Row],[% Used]]="","",1-Dashboard_Query[[#This Row],[% Used]])</f>
        <v>0.99980000000000002</v>
      </c>
      <c r="U192" s="4">
        <f>IF(OR(Dashboard_Query[[#This Row],[Monthly Allowance]]="",Dashboard_Query[[#This Row],[Current Usage]]=""),"",MAX(0,Dashboard_Query[[#This Row],[Current Usage]]-Dashboard_Query[[#This Row],[Monthly Allowance]]))</f>
        <v>0</v>
      </c>
      <c r="V192" s="4" t="str">
        <f>IF(Dashboard_Query[[#This Row],[Monthly Allowance]]="","",IF(Dashboard_Query[[#This Row],[Overage]]&gt;0,"OVER",IF(Dashboard_Query[[#This Row],[% Used]]&gt;=0.8,"WARNING","OK")))</f>
        <v>OK</v>
      </c>
      <c r="W192" s="1"/>
      <c r="X192" s="1"/>
    </row>
    <row r="193" spans="1:24" hidden="1">
      <c r="A193" s="4" t="s">
        <v>263</v>
      </c>
      <c r="B193" s="4">
        <v>814446</v>
      </c>
      <c r="C193" s="4"/>
      <c r="D193" s="4"/>
      <c r="E193" s="4"/>
      <c r="F193" s="4"/>
      <c r="G193" s="6"/>
      <c r="H193" s="6"/>
      <c r="I193" s="32"/>
      <c r="J193" s="1"/>
      <c r="K193" s="4">
        <v>500</v>
      </c>
      <c r="M193" s="4" t="s">
        <v>74</v>
      </c>
      <c r="N193" s="6"/>
      <c r="O193" s="1">
        <v>50</v>
      </c>
      <c r="P193" s="4">
        <v>0.1</v>
      </c>
      <c r="Q193" s="4">
        <v>0.1</v>
      </c>
      <c r="R193" s="4">
        <f>IF(
    OR(Dashboard_Query[[#This Row],[Monthly Allowance]]="",Dashboard_Query[[#This Row],[Current Usage]]=""),
    "",
    MAX(0,Dashboard_Query[[#This Row],[Monthly Allowance]]-Dashboard_Query[[#This Row],[Current Usage]])
)</f>
        <v>499.9</v>
      </c>
      <c r="S193" s="9">
        <f>IF(OR(Dashboard_Query[[#This Row],[Monthly Allowance]]="",Dashboard_Query[[#This Row],[Current Usage]]=""),"",Dashboard_Query[[#This Row],[Current Usage]]/Dashboard_Query[[#This Row],[Monthly Allowance]])</f>
        <v>2.0000000000000001E-4</v>
      </c>
      <c r="T193" s="9">
        <f>IF(Dashboard_Query[[#This Row],[% Used]]="","",1-Dashboard_Query[[#This Row],[% Used]])</f>
        <v>0.99980000000000002</v>
      </c>
      <c r="U193" s="4">
        <f>IF(OR(Dashboard_Query[[#This Row],[Monthly Allowance]]="",Dashboard_Query[[#This Row],[Current Usage]]=""),"",MAX(0,Dashboard_Query[[#This Row],[Current Usage]]-Dashboard_Query[[#This Row],[Monthly Allowance]]))</f>
        <v>0</v>
      </c>
      <c r="V193" s="4" t="str">
        <f>IF(Dashboard_Query[[#This Row],[Monthly Allowance]]="","",IF(Dashboard_Query[[#This Row],[Overage]]&gt;0,"OVER",IF(Dashboard_Query[[#This Row],[% Used]]&gt;=0.8,"WARNING","OK")))</f>
        <v>OK</v>
      </c>
      <c r="W193" s="1"/>
      <c r="X193" s="1"/>
    </row>
    <row r="194" spans="1:24" hidden="1">
      <c r="A194" s="4" t="s">
        <v>264</v>
      </c>
      <c r="B194" s="4">
        <v>814447</v>
      </c>
      <c r="C194" s="4"/>
      <c r="D194" s="4"/>
      <c r="E194" s="4"/>
      <c r="F194" s="4"/>
      <c r="G194" s="6"/>
      <c r="H194" s="6"/>
      <c r="I194" s="32"/>
      <c r="J194" s="1"/>
      <c r="K194" s="4">
        <v>500</v>
      </c>
      <c r="M194" s="4" t="s">
        <v>74</v>
      </c>
      <c r="N194" s="6"/>
      <c r="O194" s="1">
        <v>50</v>
      </c>
      <c r="P194" s="4">
        <v>0.1</v>
      </c>
      <c r="Q194" s="4">
        <v>0.1</v>
      </c>
      <c r="R194" s="4">
        <f>IF(
    OR(Dashboard_Query[[#This Row],[Monthly Allowance]]="",Dashboard_Query[[#This Row],[Current Usage]]=""),
    "",
    MAX(0,Dashboard_Query[[#This Row],[Monthly Allowance]]-Dashboard_Query[[#This Row],[Current Usage]])
)</f>
        <v>499.9</v>
      </c>
      <c r="S194" s="9">
        <f>IF(OR(Dashboard_Query[[#This Row],[Monthly Allowance]]="",Dashboard_Query[[#This Row],[Current Usage]]=""),"",Dashboard_Query[[#This Row],[Current Usage]]/Dashboard_Query[[#This Row],[Monthly Allowance]])</f>
        <v>2.0000000000000001E-4</v>
      </c>
      <c r="T194" s="9">
        <f>IF(Dashboard_Query[[#This Row],[% Used]]="","",1-Dashboard_Query[[#This Row],[% Used]])</f>
        <v>0.99980000000000002</v>
      </c>
      <c r="U194" s="4">
        <f>IF(OR(Dashboard_Query[[#This Row],[Monthly Allowance]]="",Dashboard_Query[[#This Row],[Current Usage]]=""),"",MAX(0,Dashboard_Query[[#This Row],[Current Usage]]-Dashboard_Query[[#This Row],[Monthly Allowance]]))</f>
        <v>0</v>
      </c>
      <c r="V194" s="4" t="str">
        <f>IF(Dashboard_Query[[#This Row],[Monthly Allowance]]="","",IF(Dashboard_Query[[#This Row],[Overage]]&gt;0,"OVER",IF(Dashboard_Query[[#This Row],[% Used]]&gt;=0.8,"WARNING","OK")))</f>
        <v>OK</v>
      </c>
      <c r="W194" s="1"/>
      <c r="X194" s="1"/>
    </row>
    <row r="195" spans="1:24">
      <c r="A195" s="4" t="s">
        <v>265</v>
      </c>
      <c r="B195" s="4">
        <v>814443</v>
      </c>
      <c r="C195" s="4" t="s">
        <v>245</v>
      </c>
      <c r="D195" s="4" t="s">
        <v>246</v>
      </c>
      <c r="E195" s="4" t="s">
        <v>247</v>
      </c>
      <c r="F195" s="4">
        <v>211121151</v>
      </c>
      <c r="G195" s="6">
        <v>46222</v>
      </c>
      <c r="H195" s="6">
        <v>46222</v>
      </c>
      <c r="I195" s="32">
        <v>46253</v>
      </c>
      <c r="J195" s="1">
        <v>30</v>
      </c>
      <c r="K195" s="4">
        <v>500</v>
      </c>
      <c r="M195" s="4" t="s">
        <v>39</v>
      </c>
      <c r="N195" s="6">
        <v>46222</v>
      </c>
      <c r="O195" s="1">
        <v>50</v>
      </c>
      <c r="P195" s="4">
        <v>0.09</v>
      </c>
      <c r="Q195" s="4">
        <v>0.09</v>
      </c>
      <c r="R195" s="4">
        <f>IF(
    OR(Dashboard_Query[[#This Row],[Monthly Allowance]]="",Dashboard_Query[[#This Row],[Current Usage]]=""),
    "",
    MAX(0,Dashboard_Query[[#This Row],[Monthly Allowance]]-Dashboard_Query[[#This Row],[Current Usage]])
)</f>
        <v>499.91</v>
      </c>
      <c r="S195" s="9">
        <f>IF(OR(Dashboard_Query[[#This Row],[Monthly Allowance]]="",Dashboard_Query[[#This Row],[Current Usage]]=""),"",Dashboard_Query[[#This Row],[Current Usage]]/Dashboard_Query[[#This Row],[Monthly Allowance]])</f>
        <v>1.7999999999999998E-4</v>
      </c>
      <c r="T195" s="9">
        <f>IF(Dashboard_Query[[#This Row],[% Used]]="","",1-Dashboard_Query[[#This Row],[% Used]])</f>
        <v>0.99982000000000004</v>
      </c>
      <c r="U195" s="4">
        <f>IF(OR(Dashboard_Query[[#This Row],[Monthly Allowance]]="",Dashboard_Query[[#This Row],[Current Usage]]=""),"",MAX(0,Dashboard_Query[[#This Row],[Current Usage]]-Dashboard_Query[[#This Row],[Monthly Allowance]]))</f>
        <v>0</v>
      </c>
      <c r="V195" s="4" t="str">
        <f>IF(Dashboard_Query[[#This Row],[Monthly Allowance]]="","",IF(Dashboard_Query[[#This Row],[Overage]]&gt;0,"OVER",IF(Dashboard_Query[[#This Row],[% Used]]&gt;=0.8,"WARNING","OK")))</f>
        <v>OK</v>
      </c>
      <c r="W195" s="1"/>
      <c r="X195" s="1"/>
    </row>
    <row r="196" spans="1:24">
      <c r="A196" s="4" t="s">
        <v>266</v>
      </c>
      <c r="B196" s="4">
        <v>814452</v>
      </c>
      <c r="C196" s="4" t="s">
        <v>245</v>
      </c>
      <c r="D196" s="4" t="s">
        <v>246</v>
      </c>
      <c r="E196" s="4" t="s">
        <v>247</v>
      </c>
      <c r="F196" s="4">
        <v>211121151</v>
      </c>
      <c r="G196" s="6">
        <v>46222</v>
      </c>
      <c r="H196" s="6">
        <v>46222</v>
      </c>
      <c r="I196" s="32">
        <v>46253</v>
      </c>
      <c r="J196" s="1">
        <v>30</v>
      </c>
      <c r="K196" s="4">
        <v>500</v>
      </c>
      <c r="M196" s="4" t="s">
        <v>39</v>
      </c>
      <c r="N196" s="6">
        <v>46222</v>
      </c>
      <c r="O196" s="1">
        <v>50</v>
      </c>
      <c r="P196" s="4">
        <v>0.09</v>
      </c>
      <c r="Q196" s="4">
        <v>0.09</v>
      </c>
      <c r="R196" s="4">
        <f>IF(
    OR(Dashboard_Query[[#This Row],[Monthly Allowance]]="",Dashboard_Query[[#This Row],[Current Usage]]=""),
    "",
    MAX(0,Dashboard_Query[[#This Row],[Monthly Allowance]]-Dashboard_Query[[#This Row],[Current Usage]])
)</f>
        <v>499.91</v>
      </c>
      <c r="S196" s="9">
        <f>IF(OR(Dashboard_Query[[#This Row],[Monthly Allowance]]="",Dashboard_Query[[#This Row],[Current Usage]]=""),"",Dashboard_Query[[#This Row],[Current Usage]]/Dashboard_Query[[#This Row],[Monthly Allowance]])</f>
        <v>1.7999999999999998E-4</v>
      </c>
      <c r="T196" s="9">
        <f>IF(Dashboard_Query[[#This Row],[% Used]]="","",1-Dashboard_Query[[#This Row],[% Used]])</f>
        <v>0.99982000000000004</v>
      </c>
      <c r="U196" s="4">
        <f>IF(OR(Dashboard_Query[[#This Row],[Monthly Allowance]]="",Dashboard_Query[[#This Row],[Current Usage]]=""),"",MAX(0,Dashboard_Query[[#This Row],[Current Usage]]-Dashboard_Query[[#This Row],[Monthly Allowance]]))</f>
        <v>0</v>
      </c>
      <c r="V196" s="4" t="str">
        <f>IF(Dashboard_Query[[#This Row],[Monthly Allowance]]="","",IF(Dashboard_Query[[#This Row],[Overage]]&gt;0,"OVER",IF(Dashboard_Query[[#This Row],[% Used]]&gt;=0.8,"WARNING","OK")))</f>
        <v>OK</v>
      </c>
      <c r="W196" s="1"/>
      <c r="X196" s="1"/>
    </row>
    <row r="197" spans="1:24" hidden="1">
      <c r="A197" s="4" t="s">
        <v>267</v>
      </c>
      <c r="B197" s="4">
        <v>812814</v>
      </c>
      <c r="C197" s="4"/>
      <c r="D197" s="4"/>
      <c r="E197" s="4"/>
      <c r="F197" s="4"/>
      <c r="G197" s="6"/>
      <c r="H197" s="6"/>
      <c r="I197" s="32"/>
      <c r="J197" s="1"/>
      <c r="K197" s="4">
        <v>500</v>
      </c>
      <c r="M197" s="4" t="s">
        <v>74</v>
      </c>
      <c r="N197" s="6"/>
      <c r="O197" s="1">
        <v>500</v>
      </c>
      <c r="P197" s="4">
        <v>0</v>
      </c>
      <c r="Q197" s="4">
        <v>0</v>
      </c>
      <c r="R197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197" s="9">
        <f>IF(OR(Dashboard_Query[[#This Row],[Monthly Allowance]]="",Dashboard_Query[[#This Row],[Current Usage]]=""),"",Dashboard_Query[[#This Row],[Current Usage]]/Dashboard_Query[[#This Row],[Monthly Allowance]])</f>
        <v>0</v>
      </c>
      <c r="T197" s="9">
        <f>IF(Dashboard_Query[[#This Row],[% Used]]="","",1-Dashboard_Query[[#This Row],[% Used]])</f>
        <v>1</v>
      </c>
      <c r="U197" s="4">
        <f>IF(OR(Dashboard_Query[[#This Row],[Monthly Allowance]]="",Dashboard_Query[[#This Row],[Current Usage]]=""),"",MAX(0,Dashboard_Query[[#This Row],[Current Usage]]-Dashboard_Query[[#This Row],[Monthly Allowance]]))</f>
        <v>0</v>
      </c>
      <c r="V197" s="4" t="str">
        <f>IF(Dashboard_Query[[#This Row],[Monthly Allowance]]="","",IF(Dashboard_Query[[#This Row],[Overage]]&gt;0,"OVER",IF(Dashboard_Query[[#This Row],[% Used]]&gt;=0.8,"WARNING","OK")))</f>
        <v>OK</v>
      </c>
      <c r="W197" s="1"/>
      <c r="X197" s="1"/>
    </row>
    <row r="198" spans="1:24">
      <c r="A198" s="4" t="s">
        <v>268</v>
      </c>
      <c r="B198" s="4">
        <v>814459</v>
      </c>
      <c r="C198" s="4" t="s">
        <v>245</v>
      </c>
      <c r="D198" s="4" t="s">
        <v>246</v>
      </c>
      <c r="E198" s="4" t="s">
        <v>247</v>
      </c>
      <c r="F198" s="4">
        <v>211121151</v>
      </c>
      <c r="G198" s="6">
        <v>46222</v>
      </c>
      <c r="H198" s="6">
        <v>46222</v>
      </c>
      <c r="I198" s="32">
        <v>46253</v>
      </c>
      <c r="J198" s="1">
        <v>30</v>
      </c>
      <c r="K198" s="4">
        <v>500</v>
      </c>
      <c r="M198" s="4" t="s">
        <v>39</v>
      </c>
      <c r="N198" s="6">
        <v>46222</v>
      </c>
      <c r="O198" s="1">
        <v>50</v>
      </c>
      <c r="P198" s="4">
        <v>0.09</v>
      </c>
      <c r="Q198" s="4">
        <v>0.09</v>
      </c>
      <c r="R198" s="4">
        <f>IF(
    OR(Dashboard_Query[[#This Row],[Monthly Allowance]]="",Dashboard_Query[[#This Row],[Current Usage]]=""),
    "",
    MAX(0,Dashboard_Query[[#This Row],[Monthly Allowance]]-Dashboard_Query[[#This Row],[Current Usage]])
)</f>
        <v>499.91</v>
      </c>
      <c r="S198" s="9">
        <f>IF(OR(Dashboard_Query[[#This Row],[Monthly Allowance]]="",Dashboard_Query[[#This Row],[Current Usage]]=""),"",Dashboard_Query[[#This Row],[Current Usage]]/Dashboard_Query[[#This Row],[Monthly Allowance]])</f>
        <v>1.7999999999999998E-4</v>
      </c>
      <c r="T198" s="9">
        <f>IF(Dashboard_Query[[#This Row],[% Used]]="","",1-Dashboard_Query[[#This Row],[% Used]])</f>
        <v>0.99982000000000004</v>
      </c>
      <c r="U198" s="4">
        <f>IF(OR(Dashboard_Query[[#This Row],[Monthly Allowance]]="",Dashboard_Query[[#This Row],[Current Usage]]=""),"",MAX(0,Dashboard_Query[[#This Row],[Current Usage]]-Dashboard_Query[[#This Row],[Monthly Allowance]]))</f>
        <v>0</v>
      </c>
      <c r="V198" s="4" t="str">
        <f>IF(Dashboard_Query[[#This Row],[Monthly Allowance]]="","",IF(Dashboard_Query[[#This Row],[Overage]]&gt;0,"OVER",IF(Dashboard_Query[[#This Row],[% Used]]&gt;=0.8,"WARNING","OK")))</f>
        <v>OK</v>
      </c>
      <c r="W198" s="1"/>
      <c r="X198" s="1"/>
    </row>
    <row r="199" spans="1:24">
      <c r="A199" s="4" t="s">
        <v>269</v>
      </c>
      <c r="B199" s="4">
        <v>814476</v>
      </c>
      <c r="C199" s="4" t="s">
        <v>146</v>
      </c>
      <c r="D199" s="4" t="s">
        <v>147</v>
      </c>
      <c r="E199" s="4" t="s">
        <v>148</v>
      </c>
      <c r="F199" s="4">
        <v>211121149</v>
      </c>
      <c r="G199" s="6">
        <v>46221</v>
      </c>
      <c r="H199" s="6">
        <v>46221</v>
      </c>
      <c r="I199" s="32">
        <v>46252</v>
      </c>
      <c r="J199" s="1">
        <v>29</v>
      </c>
      <c r="K199" s="4">
        <v>500</v>
      </c>
      <c r="M199" s="4" t="s">
        <v>39</v>
      </c>
      <c r="N199" s="6">
        <v>46221</v>
      </c>
      <c r="O199" s="1">
        <v>50</v>
      </c>
      <c r="P199" s="4">
        <v>0.09</v>
      </c>
      <c r="Q199" s="4">
        <v>0.09</v>
      </c>
      <c r="R199" s="4">
        <f>IF(
    OR(Dashboard_Query[[#This Row],[Monthly Allowance]]="",Dashboard_Query[[#This Row],[Current Usage]]=""),
    "",
    MAX(0,Dashboard_Query[[#This Row],[Monthly Allowance]]-Dashboard_Query[[#This Row],[Current Usage]])
)</f>
        <v>499.91</v>
      </c>
      <c r="S199" s="9">
        <f>IF(OR(Dashboard_Query[[#This Row],[Monthly Allowance]]="",Dashboard_Query[[#This Row],[Current Usage]]=""),"",Dashboard_Query[[#This Row],[Current Usage]]/Dashboard_Query[[#This Row],[Monthly Allowance]])</f>
        <v>1.7999999999999998E-4</v>
      </c>
      <c r="T199" s="9">
        <f>IF(Dashboard_Query[[#This Row],[% Used]]="","",1-Dashboard_Query[[#This Row],[% Used]])</f>
        <v>0.99982000000000004</v>
      </c>
      <c r="U199" s="4">
        <f>IF(OR(Dashboard_Query[[#This Row],[Monthly Allowance]]="",Dashboard_Query[[#This Row],[Current Usage]]=""),"",MAX(0,Dashboard_Query[[#This Row],[Current Usage]]-Dashboard_Query[[#This Row],[Monthly Allowance]]))</f>
        <v>0</v>
      </c>
      <c r="V199" s="4" t="str">
        <f>IF(Dashboard_Query[[#This Row],[Monthly Allowance]]="","",IF(Dashboard_Query[[#This Row],[Overage]]&gt;0,"OVER",IF(Dashboard_Query[[#This Row],[% Used]]&gt;=0.8,"WARNING","OK")))</f>
        <v>OK</v>
      </c>
      <c r="W199" s="1"/>
      <c r="X199" s="1"/>
    </row>
    <row r="200" spans="1:24">
      <c r="A200" s="4" t="s">
        <v>270</v>
      </c>
      <c r="B200" s="4">
        <v>814478</v>
      </c>
      <c r="C200" s="4" t="s">
        <v>146</v>
      </c>
      <c r="D200" s="4" t="s">
        <v>147</v>
      </c>
      <c r="E200" s="4" t="s">
        <v>148</v>
      </c>
      <c r="F200" s="4">
        <v>211121149</v>
      </c>
      <c r="G200" s="6">
        <v>46221</v>
      </c>
      <c r="H200" s="6">
        <v>46221</v>
      </c>
      <c r="I200" s="32">
        <v>46252</v>
      </c>
      <c r="J200" s="1">
        <v>29</v>
      </c>
      <c r="K200" s="4">
        <v>500</v>
      </c>
      <c r="M200" s="4" t="s">
        <v>39</v>
      </c>
      <c r="N200" s="6">
        <v>46221</v>
      </c>
      <c r="O200" s="1">
        <v>50</v>
      </c>
      <c r="P200" s="4">
        <v>0.09</v>
      </c>
      <c r="Q200" s="4">
        <v>0.09</v>
      </c>
      <c r="R200" s="4">
        <f>IF(
    OR(Dashboard_Query[[#This Row],[Monthly Allowance]]="",Dashboard_Query[[#This Row],[Current Usage]]=""),
    "",
    MAX(0,Dashboard_Query[[#This Row],[Monthly Allowance]]-Dashboard_Query[[#This Row],[Current Usage]])
)</f>
        <v>499.91</v>
      </c>
      <c r="S200" s="9">
        <f>IF(OR(Dashboard_Query[[#This Row],[Monthly Allowance]]="",Dashboard_Query[[#This Row],[Current Usage]]=""),"",Dashboard_Query[[#This Row],[Current Usage]]/Dashboard_Query[[#This Row],[Monthly Allowance]])</f>
        <v>1.7999999999999998E-4</v>
      </c>
      <c r="T200" s="9">
        <f>IF(Dashboard_Query[[#This Row],[% Used]]="","",1-Dashboard_Query[[#This Row],[% Used]])</f>
        <v>0.99982000000000004</v>
      </c>
      <c r="U200" s="4">
        <f>IF(OR(Dashboard_Query[[#This Row],[Monthly Allowance]]="",Dashboard_Query[[#This Row],[Current Usage]]=""),"",MAX(0,Dashboard_Query[[#This Row],[Current Usage]]-Dashboard_Query[[#This Row],[Monthly Allowance]]))</f>
        <v>0</v>
      </c>
      <c r="V200" s="4" t="str">
        <f>IF(Dashboard_Query[[#This Row],[Monthly Allowance]]="","",IF(Dashboard_Query[[#This Row],[Overage]]&gt;0,"OVER",IF(Dashboard_Query[[#This Row],[% Used]]&gt;=0.8,"WARNING","OK")))</f>
        <v>OK</v>
      </c>
      <c r="W200" s="1"/>
      <c r="X200" s="1"/>
    </row>
    <row r="201" spans="1:24" hidden="1">
      <c r="A201" s="4" t="s">
        <v>271</v>
      </c>
      <c r="B201" s="4">
        <v>812816</v>
      </c>
      <c r="C201" s="4"/>
      <c r="D201" s="4"/>
      <c r="E201" s="4"/>
      <c r="F201" s="4"/>
      <c r="G201" s="6"/>
      <c r="H201" s="6"/>
      <c r="I201" s="32"/>
      <c r="J201" s="1"/>
      <c r="K201" s="4">
        <v>500</v>
      </c>
      <c r="M201" s="4" t="s">
        <v>74</v>
      </c>
      <c r="N201" s="6"/>
      <c r="O201" s="1">
        <v>500</v>
      </c>
      <c r="P201" s="4">
        <v>0</v>
      </c>
      <c r="Q201" s="4">
        <v>0</v>
      </c>
      <c r="R201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201" s="9">
        <f>IF(OR(Dashboard_Query[[#This Row],[Monthly Allowance]]="",Dashboard_Query[[#This Row],[Current Usage]]=""),"",Dashboard_Query[[#This Row],[Current Usage]]/Dashboard_Query[[#This Row],[Monthly Allowance]])</f>
        <v>0</v>
      </c>
      <c r="T201" s="9">
        <f>IF(Dashboard_Query[[#This Row],[% Used]]="","",1-Dashboard_Query[[#This Row],[% Used]])</f>
        <v>1</v>
      </c>
      <c r="U201" s="4">
        <f>IF(OR(Dashboard_Query[[#This Row],[Monthly Allowance]]="",Dashboard_Query[[#This Row],[Current Usage]]=""),"",MAX(0,Dashboard_Query[[#This Row],[Current Usage]]-Dashboard_Query[[#This Row],[Monthly Allowance]]))</f>
        <v>0</v>
      </c>
      <c r="V201" s="4" t="str">
        <f>IF(Dashboard_Query[[#This Row],[Monthly Allowance]]="","",IF(Dashboard_Query[[#This Row],[Overage]]&gt;0,"OVER",IF(Dashboard_Query[[#This Row],[% Used]]&gt;=0.8,"WARNING","OK")))</f>
        <v>OK</v>
      </c>
      <c r="W201" s="1"/>
      <c r="X201" s="1"/>
    </row>
    <row r="202" spans="1:24" hidden="1">
      <c r="A202" s="4" t="s">
        <v>272</v>
      </c>
      <c r="B202" s="4">
        <v>814468</v>
      </c>
      <c r="C202" s="4"/>
      <c r="D202" s="4"/>
      <c r="E202" s="4"/>
      <c r="F202" s="4"/>
      <c r="G202" s="6"/>
      <c r="H202" s="6"/>
      <c r="I202" s="32"/>
      <c r="J202" s="1"/>
      <c r="K202" s="4">
        <v>500</v>
      </c>
      <c r="M202" s="4" t="s">
        <v>74</v>
      </c>
      <c r="N202" s="6"/>
      <c r="O202" s="1">
        <v>50</v>
      </c>
      <c r="P202" s="4">
        <v>0.09</v>
      </c>
      <c r="Q202" s="4">
        <v>0.09</v>
      </c>
      <c r="R202" s="4">
        <f>IF(
    OR(Dashboard_Query[[#This Row],[Monthly Allowance]]="",Dashboard_Query[[#This Row],[Current Usage]]=""),
    "",
    MAX(0,Dashboard_Query[[#This Row],[Monthly Allowance]]-Dashboard_Query[[#This Row],[Current Usage]])
)</f>
        <v>499.91</v>
      </c>
      <c r="S202" s="9">
        <f>IF(OR(Dashboard_Query[[#This Row],[Monthly Allowance]]="",Dashboard_Query[[#This Row],[Current Usage]]=""),"",Dashboard_Query[[#This Row],[Current Usage]]/Dashboard_Query[[#This Row],[Monthly Allowance]])</f>
        <v>1.7999999999999998E-4</v>
      </c>
      <c r="T202" s="9">
        <f>IF(Dashboard_Query[[#This Row],[% Used]]="","",1-Dashboard_Query[[#This Row],[% Used]])</f>
        <v>0.99982000000000004</v>
      </c>
      <c r="U202" s="4">
        <f>IF(OR(Dashboard_Query[[#This Row],[Monthly Allowance]]="",Dashboard_Query[[#This Row],[Current Usage]]=""),"",MAX(0,Dashboard_Query[[#This Row],[Current Usage]]-Dashboard_Query[[#This Row],[Monthly Allowance]]))</f>
        <v>0</v>
      </c>
      <c r="V202" s="4" t="str">
        <f>IF(Dashboard_Query[[#This Row],[Monthly Allowance]]="","",IF(Dashboard_Query[[#This Row],[Overage]]&gt;0,"OVER",IF(Dashboard_Query[[#This Row],[% Used]]&gt;=0.8,"WARNING","OK")))</f>
        <v>OK</v>
      </c>
      <c r="W202" s="1"/>
      <c r="X202" s="1"/>
    </row>
    <row r="203" spans="1:24">
      <c r="A203" s="4" t="s">
        <v>273</v>
      </c>
      <c r="B203" s="4">
        <v>814465</v>
      </c>
      <c r="C203" s="4" t="s">
        <v>245</v>
      </c>
      <c r="D203" s="4" t="s">
        <v>246</v>
      </c>
      <c r="E203" s="4" t="s">
        <v>247</v>
      </c>
      <c r="F203" s="4">
        <v>211121151</v>
      </c>
      <c r="G203" s="6">
        <v>46222</v>
      </c>
      <c r="H203" s="6">
        <v>46222</v>
      </c>
      <c r="I203" s="32">
        <v>46253</v>
      </c>
      <c r="J203" s="1">
        <v>30</v>
      </c>
      <c r="K203" s="4">
        <v>500</v>
      </c>
      <c r="M203" s="4" t="s">
        <v>39</v>
      </c>
      <c r="N203" s="6">
        <v>46222</v>
      </c>
      <c r="O203" s="1">
        <v>50</v>
      </c>
      <c r="P203" s="4">
        <v>0.09</v>
      </c>
      <c r="Q203" s="4">
        <v>0.09</v>
      </c>
      <c r="R203" s="4">
        <f>IF(
    OR(Dashboard_Query[[#This Row],[Monthly Allowance]]="",Dashboard_Query[[#This Row],[Current Usage]]=""),
    "",
    MAX(0,Dashboard_Query[[#This Row],[Monthly Allowance]]-Dashboard_Query[[#This Row],[Current Usage]])
)</f>
        <v>499.91</v>
      </c>
      <c r="S203" s="9">
        <f>IF(OR(Dashboard_Query[[#This Row],[Monthly Allowance]]="",Dashboard_Query[[#This Row],[Current Usage]]=""),"",Dashboard_Query[[#This Row],[Current Usage]]/Dashboard_Query[[#This Row],[Monthly Allowance]])</f>
        <v>1.7999999999999998E-4</v>
      </c>
      <c r="T203" s="9">
        <f>IF(Dashboard_Query[[#This Row],[% Used]]="","",1-Dashboard_Query[[#This Row],[% Used]])</f>
        <v>0.99982000000000004</v>
      </c>
      <c r="U203" s="4">
        <f>IF(OR(Dashboard_Query[[#This Row],[Monthly Allowance]]="",Dashboard_Query[[#This Row],[Current Usage]]=""),"",MAX(0,Dashboard_Query[[#This Row],[Current Usage]]-Dashboard_Query[[#This Row],[Monthly Allowance]]))</f>
        <v>0</v>
      </c>
      <c r="V203" s="4" t="str">
        <f>IF(Dashboard_Query[[#This Row],[Monthly Allowance]]="","",IF(Dashboard_Query[[#This Row],[Overage]]&gt;0,"OVER",IF(Dashboard_Query[[#This Row],[% Used]]&gt;=0.8,"WARNING","OK")))</f>
        <v>OK</v>
      </c>
      <c r="W203" s="1"/>
      <c r="X203" s="1"/>
    </row>
    <row r="204" spans="1:24" hidden="1">
      <c r="A204" s="4" t="s">
        <v>274</v>
      </c>
      <c r="B204" s="4">
        <v>812817</v>
      </c>
      <c r="C204" s="4"/>
      <c r="D204" s="4"/>
      <c r="E204" s="4"/>
      <c r="F204" s="4"/>
      <c r="G204" s="6"/>
      <c r="H204" s="6"/>
      <c r="I204" s="32"/>
      <c r="J204" s="1"/>
      <c r="K204" s="4">
        <v>500</v>
      </c>
      <c r="M204" s="4" t="s">
        <v>74</v>
      </c>
      <c r="N204" s="6"/>
      <c r="O204" s="1">
        <v>50</v>
      </c>
      <c r="P204" s="4">
        <v>0</v>
      </c>
      <c r="Q204" s="4">
        <v>0</v>
      </c>
      <c r="R204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204" s="9">
        <f>IF(OR(Dashboard_Query[[#This Row],[Monthly Allowance]]="",Dashboard_Query[[#This Row],[Current Usage]]=""),"",Dashboard_Query[[#This Row],[Current Usage]]/Dashboard_Query[[#This Row],[Monthly Allowance]])</f>
        <v>0</v>
      </c>
      <c r="T204" s="9">
        <f>IF(Dashboard_Query[[#This Row],[% Used]]="","",1-Dashboard_Query[[#This Row],[% Used]])</f>
        <v>1</v>
      </c>
      <c r="U204" s="4">
        <f>IF(OR(Dashboard_Query[[#This Row],[Monthly Allowance]]="",Dashboard_Query[[#This Row],[Current Usage]]=""),"",MAX(0,Dashboard_Query[[#This Row],[Current Usage]]-Dashboard_Query[[#This Row],[Monthly Allowance]]))</f>
        <v>0</v>
      </c>
      <c r="V204" s="4" t="str">
        <f>IF(Dashboard_Query[[#This Row],[Monthly Allowance]]="","",IF(Dashboard_Query[[#This Row],[Overage]]&gt;0,"OVER",IF(Dashboard_Query[[#This Row],[% Used]]&gt;=0.8,"WARNING","OK")))</f>
        <v>OK</v>
      </c>
      <c r="W204" s="1"/>
      <c r="X204" s="1"/>
    </row>
    <row r="205" spans="1:24">
      <c r="A205" s="4" t="s">
        <v>275</v>
      </c>
      <c r="B205" s="4">
        <v>814454</v>
      </c>
      <c r="C205" s="4" t="s">
        <v>245</v>
      </c>
      <c r="D205" s="4" t="s">
        <v>246</v>
      </c>
      <c r="E205" s="4" t="s">
        <v>247</v>
      </c>
      <c r="F205" s="4">
        <v>211121151</v>
      </c>
      <c r="G205" s="6">
        <v>46222</v>
      </c>
      <c r="H205" s="6">
        <v>46222</v>
      </c>
      <c r="I205" s="32">
        <v>46253</v>
      </c>
      <c r="J205" s="1">
        <v>30</v>
      </c>
      <c r="K205" s="4">
        <v>500</v>
      </c>
      <c r="M205" s="4" t="s">
        <v>39</v>
      </c>
      <c r="N205" s="6">
        <v>46222</v>
      </c>
      <c r="O205" s="1">
        <v>50</v>
      </c>
      <c r="P205" s="4">
        <v>0.09</v>
      </c>
      <c r="Q205" s="4">
        <v>0.09</v>
      </c>
      <c r="R205" s="4">
        <f>IF(
    OR(Dashboard_Query[[#This Row],[Monthly Allowance]]="",Dashboard_Query[[#This Row],[Current Usage]]=""),
    "",
    MAX(0,Dashboard_Query[[#This Row],[Monthly Allowance]]-Dashboard_Query[[#This Row],[Current Usage]])
)</f>
        <v>499.91</v>
      </c>
      <c r="S205" s="9">
        <f>IF(OR(Dashboard_Query[[#This Row],[Monthly Allowance]]="",Dashboard_Query[[#This Row],[Current Usage]]=""),"",Dashboard_Query[[#This Row],[Current Usage]]/Dashboard_Query[[#This Row],[Monthly Allowance]])</f>
        <v>1.7999999999999998E-4</v>
      </c>
      <c r="T205" s="9">
        <f>IF(Dashboard_Query[[#This Row],[% Used]]="","",1-Dashboard_Query[[#This Row],[% Used]])</f>
        <v>0.99982000000000004</v>
      </c>
      <c r="U205" s="4">
        <f>IF(OR(Dashboard_Query[[#This Row],[Monthly Allowance]]="",Dashboard_Query[[#This Row],[Current Usage]]=""),"",MAX(0,Dashboard_Query[[#This Row],[Current Usage]]-Dashboard_Query[[#This Row],[Monthly Allowance]]))</f>
        <v>0</v>
      </c>
      <c r="V205" s="4" t="str">
        <f>IF(Dashboard_Query[[#This Row],[Monthly Allowance]]="","",IF(Dashboard_Query[[#This Row],[Overage]]&gt;0,"OVER",IF(Dashboard_Query[[#This Row],[% Used]]&gt;=0.8,"WARNING","OK")))</f>
        <v>OK</v>
      </c>
      <c r="W205" s="1"/>
      <c r="X205" s="1"/>
    </row>
    <row r="206" spans="1:24" hidden="1">
      <c r="A206" s="4" t="s">
        <v>276</v>
      </c>
      <c r="B206" s="4">
        <v>814455</v>
      </c>
      <c r="C206" s="4"/>
      <c r="D206" s="4"/>
      <c r="E206" s="4"/>
      <c r="F206" s="4"/>
      <c r="G206" s="6"/>
      <c r="H206" s="6"/>
      <c r="I206" s="32"/>
      <c r="J206" s="1"/>
      <c r="K206" s="4">
        <v>500</v>
      </c>
      <c r="M206" s="4" t="s">
        <v>74</v>
      </c>
      <c r="N206" s="6"/>
      <c r="O206" s="1">
        <v>50</v>
      </c>
      <c r="P206" s="4">
        <v>0.09</v>
      </c>
      <c r="Q206" s="4">
        <v>0.09</v>
      </c>
      <c r="R206" s="4">
        <f>IF(
    OR(Dashboard_Query[[#This Row],[Monthly Allowance]]="",Dashboard_Query[[#This Row],[Current Usage]]=""),
    "",
    MAX(0,Dashboard_Query[[#This Row],[Monthly Allowance]]-Dashboard_Query[[#This Row],[Current Usage]])
)</f>
        <v>499.91</v>
      </c>
      <c r="S206" s="9">
        <f>IF(OR(Dashboard_Query[[#This Row],[Monthly Allowance]]="",Dashboard_Query[[#This Row],[Current Usage]]=""),"",Dashboard_Query[[#This Row],[Current Usage]]/Dashboard_Query[[#This Row],[Monthly Allowance]])</f>
        <v>1.7999999999999998E-4</v>
      </c>
      <c r="T206" s="9">
        <f>IF(Dashboard_Query[[#This Row],[% Used]]="","",1-Dashboard_Query[[#This Row],[% Used]])</f>
        <v>0.99982000000000004</v>
      </c>
      <c r="U206" s="4">
        <f>IF(OR(Dashboard_Query[[#This Row],[Monthly Allowance]]="",Dashboard_Query[[#This Row],[Current Usage]]=""),"",MAX(0,Dashboard_Query[[#This Row],[Current Usage]]-Dashboard_Query[[#This Row],[Monthly Allowance]]))</f>
        <v>0</v>
      </c>
      <c r="V206" s="4" t="str">
        <f>IF(Dashboard_Query[[#This Row],[Monthly Allowance]]="","",IF(Dashboard_Query[[#This Row],[Overage]]&gt;0,"OVER",IF(Dashboard_Query[[#This Row],[% Used]]&gt;=0.8,"WARNING","OK")))</f>
        <v>OK</v>
      </c>
      <c r="W206" s="1"/>
      <c r="X206" s="1"/>
    </row>
    <row r="207" spans="1:24">
      <c r="A207" s="4" t="s">
        <v>277</v>
      </c>
      <c r="B207" s="4">
        <v>814453</v>
      </c>
      <c r="C207" s="4" t="s">
        <v>245</v>
      </c>
      <c r="D207" s="4" t="s">
        <v>246</v>
      </c>
      <c r="E207" s="4" t="s">
        <v>247</v>
      </c>
      <c r="F207" s="4">
        <v>211121151</v>
      </c>
      <c r="G207" s="6">
        <v>46222</v>
      </c>
      <c r="H207" s="6">
        <v>46222</v>
      </c>
      <c r="I207" s="32">
        <v>46253</v>
      </c>
      <c r="J207" s="1">
        <v>30</v>
      </c>
      <c r="K207" s="4">
        <v>500</v>
      </c>
      <c r="M207" s="4" t="s">
        <v>39</v>
      </c>
      <c r="N207" s="6">
        <v>46222</v>
      </c>
      <c r="O207" s="1">
        <v>50</v>
      </c>
      <c r="P207" s="4">
        <v>0.09</v>
      </c>
      <c r="Q207" s="4">
        <v>0.09</v>
      </c>
      <c r="R207" s="4">
        <f>IF(
    OR(Dashboard_Query[[#This Row],[Monthly Allowance]]="",Dashboard_Query[[#This Row],[Current Usage]]=""),
    "",
    MAX(0,Dashboard_Query[[#This Row],[Monthly Allowance]]-Dashboard_Query[[#This Row],[Current Usage]])
)</f>
        <v>499.91</v>
      </c>
      <c r="S207" s="9">
        <f>IF(OR(Dashboard_Query[[#This Row],[Monthly Allowance]]="",Dashboard_Query[[#This Row],[Current Usage]]=""),"",Dashboard_Query[[#This Row],[Current Usage]]/Dashboard_Query[[#This Row],[Monthly Allowance]])</f>
        <v>1.7999999999999998E-4</v>
      </c>
      <c r="T207" s="9">
        <f>IF(Dashboard_Query[[#This Row],[% Used]]="","",1-Dashboard_Query[[#This Row],[% Used]])</f>
        <v>0.99982000000000004</v>
      </c>
      <c r="U207" s="4">
        <f>IF(OR(Dashboard_Query[[#This Row],[Monthly Allowance]]="",Dashboard_Query[[#This Row],[Current Usage]]=""),"",MAX(0,Dashboard_Query[[#This Row],[Current Usage]]-Dashboard_Query[[#This Row],[Monthly Allowance]]))</f>
        <v>0</v>
      </c>
      <c r="V207" s="4" t="str">
        <f>IF(Dashboard_Query[[#This Row],[Monthly Allowance]]="","",IF(Dashboard_Query[[#This Row],[Overage]]&gt;0,"OVER",IF(Dashboard_Query[[#This Row],[% Used]]&gt;=0.8,"WARNING","OK")))</f>
        <v>OK</v>
      </c>
      <c r="W207" s="1"/>
      <c r="X207" s="1"/>
    </row>
    <row r="208" spans="1:24">
      <c r="A208" s="4" t="s">
        <v>278</v>
      </c>
      <c r="B208" s="4">
        <v>814642</v>
      </c>
      <c r="C208" s="4" t="s">
        <v>245</v>
      </c>
      <c r="D208" s="4" t="s">
        <v>246</v>
      </c>
      <c r="E208" s="4" t="s">
        <v>247</v>
      </c>
      <c r="F208" s="4">
        <v>211121151</v>
      </c>
      <c r="G208" s="6">
        <v>46222</v>
      </c>
      <c r="H208" s="6">
        <v>46222</v>
      </c>
      <c r="I208" s="32">
        <v>46253</v>
      </c>
      <c r="J208" s="1">
        <v>30</v>
      </c>
      <c r="K208" s="4">
        <v>1000</v>
      </c>
      <c r="M208" s="4" t="s">
        <v>39</v>
      </c>
      <c r="N208" s="6">
        <v>46222</v>
      </c>
      <c r="O208" s="1">
        <v>50</v>
      </c>
      <c r="P208" s="4">
        <v>0.08</v>
      </c>
      <c r="Q208" s="4">
        <v>0.08</v>
      </c>
      <c r="R208" s="4">
        <f>IF(
    OR(Dashboard_Query[[#This Row],[Monthly Allowance]]="",Dashboard_Query[[#This Row],[Current Usage]]=""),
    "",
    MAX(0,Dashboard_Query[[#This Row],[Monthly Allowance]]-Dashboard_Query[[#This Row],[Current Usage]])
)</f>
        <v>999.92</v>
      </c>
      <c r="S208" s="9">
        <f>IF(OR(Dashboard_Query[[#This Row],[Monthly Allowance]]="",Dashboard_Query[[#This Row],[Current Usage]]=""),"",Dashboard_Query[[#This Row],[Current Usage]]/Dashboard_Query[[#This Row],[Monthly Allowance]])</f>
        <v>8.0000000000000007E-5</v>
      </c>
      <c r="T208" s="9">
        <f>IF(Dashboard_Query[[#This Row],[% Used]]="","",1-Dashboard_Query[[#This Row],[% Used]])</f>
        <v>0.99992000000000003</v>
      </c>
      <c r="U208" s="4">
        <f>IF(OR(Dashboard_Query[[#This Row],[Monthly Allowance]]="",Dashboard_Query[[#This Row],[Current Usage]]=""),"",MAX(0,Dashboard_Query[[#This Row],[Current Usage]]-Dashboard_Query[[#This Row],[Monthly Allowance]]))</f>
        <v>0</v>
      </c>
      <c r="V208" s="4" t="str">
        <f>IF(Dashboard_Query[[#This Row],[Monthly Allowance]]="","",IF(Dashboard_Query[[#This Row],[Overage]]&gt;0,"OVER",IF(Dashboard_Query[[#This Row],[% Used]]&gt;=0.8,"WARNING","OK")))</f>
        <v>OK</v>
      </c>
      <c r="W208" s="1"/>
      <c r="X208" s="1"/>
    </row>
    <row r="209" spans="1:24" hidden="1">
      <c r="A209" s="4" t="s">
        <v>279</v>
      </c>
      <c r="B209" s="4">
        <v>814644</v>
      </c>
      <c r="C209" s="4"/>
      <c r="D209" s="4"/>
      <c r="E209" s="4"/>
      <c r="F209" s="4"/>
      <c r="G209" s="6"/>
      <c r="H209" s="6"/>
      <c r="I209" s="32"/>
      <c r="J209" s="1"/>
      <c r="K209" s="4">
        <v>1000</v>
      </c>
      <c r="M209" s="4" t="s">
        <v>74</v>
      </c>
      <c r="N209" s="6"/>
      <c r="O209" s="1">
        <v>50</v>
      </c>
      <c r="P209" s="4">
        <v>7.0000000000000007E-2</v>
      </c>
      <c r="Q209" s="4">
        <v>7.0000000000000007E-2</v>
      </c>
      <c r="R209" s="4">
        <f>IF(
    OR(Dashboard_Query[[#This Row],[Monthly Allowance]]="",Dashboard_Query[[#This Row],[Current Usage]]=""),
    "",
    MAX(0,Dashboard_Query[[#This Row],[Monthly Allowance]]-Dashboard_Query[[#This Row],[Current Usage]])
)</f>
        <v>999.93</v>
      </c>
      <c r="S209" s="9">
        <f>IF(OR(Dashboard_Query[[#This Row],[Monthly Allowance]]="",Dashboard_Query[[#This Row],[Current Usage]]=""),"",Dashboard_Query[[#This Row],[Current Usage]]/Dashboard_Query[[#This Row],[Monthly Allowance]])</f>
        <v>7.0000000000000007E-5</v>
      </c>
      <c r="T209" s="9">
        <f>IF(Dashboard_Query[[#This Row],[% Used]]="","",1-Dashboard_Query[[#This Row],[% Used]])</f>
        <v>0.99992999999999999</v>
      </c>
      <c r="U209" s="4">
        <f>IF(OR(Dashboard_Query[[#This Row],[Monthly Allowance]]="",Dashboard_Query[[#This Row],[Current Usage]]=""),"",MAX(0,Dashboard_Query[[#This Row],[Current Usage]]-Dashboard_Query[[#This Row],[Monthly Allowance]]))</f>
        <v>0</v>
      </c>
      <c r="V209" s="4" t="str">
        <f>IF(Dashboard_Query[[#This Row],[Monthly Allowance]]="","",IF(Dashboard_Query[[#This Row],[Overage]]&gt;0,"OVER",IF(Dashboard_Query[[#This Row],[% Used]]&gt;=0.8,"WARNING","OK")))</f>
        <v>OK</v>
      </c>
      <c r="W209" s="1"/>
      <c r="X209" s="1"/>
    </row>
    <row r="210" spans="1:24" hidden="1">
      <c r="A210" s="4" t="s">
        <v>280</v>
      </c>
      <c r="B210" s="4">
        <v>814494</v>
      </c>
      <c r="C210" s="4"/>
      <c r="D210" s="4"/>
      <c r="E210" s="4"/>
      <c r="F210" s="4"/>
      <c r="G210" s="6"/>
      <c r="H210" s="6"/>
      <c r="I210" s="32"/>
      <c r="J210" s="1"/>
      <c r="K210" s="4">
        <v>1000</v>
      </c>
      <c r="M210" s="4" t="s">
        <v>74</v>
      </c>
      <c r="N210" s="6"/>
      <c r="O210" s="1">
        <v>50</v>
      </c>
      <c r="P210" s="4">
        <v>7.0000000000000007E-2</v>
      </c>
      <c r="Q210" s="4">
        <v>7.0000000000000007E-2</v>
      </c>
      <c r="R210" s="4">
        <f>IF(
    OR(Dashboard_Query[[#This Row],[Monthly Allowance]]="",Dashboard_Query[[#This Row],[Current Usage]]=""),
    "",
    MAX(0,Dashboard_Query[[#This Row],[Monthly Allowance]]-Dashboard_Query[[#This Row],[Current Usage]])
)</f>
        <v>999.93</v>
      </c>
      <c r="S210" s="9">
        <f>IF(OR(Dashboard_Query[[#This Row],[Monthly Allowance]]="",Dashboard_Query[[#This Row],[Current Usage]]=""),"",Dashboard_Query[[#This Row],[Current Usage]]/Dashboard_Query[[#This Row],[Monthly Allowance]])</f>
        <v>7.0000000000000007E-5</v>
      </c>
      <c r="T210" s="9">
        <f>IF(Dashboard_Query[[#This Row],[% Used]]="","",1-Dashboard_Query[[#This Row],[% Used]])</f>
        <v>0.99992999999999999</v>
      </c>
      <c r="U210" s="4">
        <f>IF(OR(Dashboard_Query[[#This Row],[Monthly Allowance]]="",Dashboard_Query[[#This Row],[Current Usage]]=""),"",MAX(0,Dashboard_Query[[#This Row],[Current Usage]]-Dashboard_Query[[#This Row],[Monthly Allowance]]))</f>
        <v>0</v>
      </c>
      <c r="V210" s="4" t="str">
        <f>IF(Dashboard_Query[[#This Row],[Monthly Allowance]]="","",IF(Dashboard_Query[[#This Row],[Overage]]&gt;0,"OVER",IF(Dashboard_Query[[#This Row],[% Used]]&gt;=0.8,"WARNING","OK")))</f>
        <v>OK</v>
      </c>
      <c r="W210" s="1"/>
      <c r="X210" s="1"/>
    </row>
    <row r="211" spans="1:24" hidden="1">
      <c r="A211" s="4" t="s">
        <v>281</v>
      </c>
      <c r="B211" s="4">
        <v>814466</v>
      </c>
      <c r="C211" s="4"/>
      <c r="D211" s="4"/>
      <c r="E211" s="4"/>
      <c r="F211" s="4"/>
      <c r="G211" s="6"/>
      <c r="H211" s="6"/>
      <c r="I211" s="32"/>
      <c r="J211" s="1"/>
      <c r="K211" s="4">
        <v>500</v>
      </c>
      <c r="M211" s="4" t="s">
        <v>74</v>
      </c>
      <c r="N211" s="6"/>
      <c r="O211" s="1">
        <v>50</v>
      </c>
      <c r="P211" s="4">
        <v>0.05</v>
      </c>
      <c r="Q211" s="4">
        <v>0.05</v>
      </c>
      <c r="R211" s="4">
        <f>IF(
    OR(Dashboard_Query[[#This Row],[Monthly Allowance]]="",Dashboard_Query[[#This Row],[Current Usage]]=""),
    "",
    MAX(0,Dashboard_Query[[#This Row],[Monthly Allowance]]-Dashboard_Query[[#This Row],[Current Usage]])
)</f>
        <v>499.95</v>
      </c>
      <c r="S211" s="9">
        <f>IF(OR(Dashboard_Query[[#This Row],[Monthly Allowance]]="",Dashboard_Query[[#This Row],[Current Usage]]=""),"",Dashboard_Query[[#This Row],[Current Usage]]/Dashboard_Query[[#This Row],[Monthly Allowance]])</f>
        <v>1E-4</v>
      </c>
      <c r="T211" s="9">
        <f>IF(Dashboard_Query[[#This Row],[% Used]]="","",1-Dashboard_Query[[#This Row],[% Used]])</f>
        <v>0.99990000000000001</v>
      </c>
      <c r="U211" s="4">
        <f>IF(OR(Dashboard_Query[[#This Row],[Monthly Allowance]]="",Dashboard_Query[[#This Row],[Current Usage]]=""),"",MAX(0,Dashboard_Query[[#This Row],[Current Usage]]-Dashboard_Query[[#This Row],[Monthly Allowance]]))</f>
        <v>0</v>
      </c>
      <c r="V211" s="4" t="str">
        <f>IF(Dashboard_Query[[#This Row],[Monthly Allowance]]="","",IF(Dashboard_Query[[#This Row],[Overage]]&gt;0,"OVER",IF(Dashboard_Query[[#This Row],[% Used]]&gt;=0.8,"WARNING","OK")))</f>
        <v>OK</v>
      </c>
      <c r="W211" s="1"/>
      <c r="X211" s="1"/>
    </row>
    <row r="212" spans="1:24" hidden="1">
      <c r="A212" s="4" t="s">
        <v>282</v>
      </c>
      <c r="B212" s="4">
        <v>812828</v>
      </c>
      <c r="C212" s="4"/>
      <c r="D212" s="4"/>
      <c r="E212" s="4"/>
      <c r="F212" s="4"/>
      <c r="G212" s="6"/>
      <c r="H212" s="6"/>
      <c r="I212" s="32"/>
      <c r="J212" s="1"/>
      <c r="K212" s="4">
        <v>500</v>
      </c>
      <c r="M212" s="4" t="s">
        <v>74</v>
      </c>
      <c r="N212" s="6"/>
      <c r="O212" s="1">
        <v>50</v>
      </c>
      <c r="P212" s="4">
        <v>0</v>
      </c>
      <c r="Q212" s="4">
        <v>0</v>
      </c>
      <c r="R212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212" s="9">
        <f>IF(OR(Dashboard_Query[[#This Row],[Monthly Allowance]]="",Dashboard_Query[[#This Row],[Current Usage]]=""),"",Dashboard_Query[[#This Row],[Current Usage]]/Dashboard_Query[[#This Row],[Monthly Allowance]])</f>
        <v>0</v>
      </c>
      <c r="T212" s="9">
        <f>IF(Dashboard_Query[[#This Row],[% Used]]="","",1-Dashboard_Query[[#This Row],[% Used]])</f>
        <v>1</v>
      </c>
      <c r="U212" s="4">
        <f>IF(OR(Dashboard_Query[[#This Row],[Monthly Allowance]]="",Dashboard_Query[[#This Row],[Current Usage]]=""),"",MAX(0,Dashboard_Query[[#This Row],[Current Usage]]-Dashboard_Query[[#This Row],[Monthly Allowance]]))</f>
        <v>0</v>
      </c>
      <c r="V212" s="4" t="str">
        <f>IF(Dashboard_Query[[#This Row],[Monthly Allowance]]="","",IF(Dashboard_Query[[#This Row],[Overage]]&gt;0,"OVER",IF(Dashboard_Query[[#This Row],[% Used]]&gt;=0.8,"WARNING","OK")))</f>
        <v>OK</v>
      </c>
      <c r="W212" s="1"/>
      <c r="X212" s="1"/>
    </row>
    <row r="213" spans="1:24" hidden="1">
      <c r="A213" s="4" t="s">
        <v>283</v>
      </c>
      <c r="B213" s="4">
        <v>814645</v>
      </c>
      <c r="C213" s="4"/>
      <c r="D213" s="4"/>
      <c r="E213" s="4"/>
      <c r="F213" s="4"/>
      <c r="G213" s="6"/>
      <c r="H213" s="6"/>
      <c r="I213" s="32"/>
      <c r="J213" s="1"/>
      <c r="K213" s="4">
        <v>1000</v>
      </c>
      <c r="M213" s="4" t="s">
        <v>74</v>
      </c>
      <c r="N213" s="6"/>
      <c r="O213" s="1">
        <v>50</v>
      </c>
      <c r="P213" s="4">
        <v>0.03</v>
      </c>
      <c r="Q213" s="4">
        <v>0.03</v>
      </c>
      <c r="R213" s="4">
        <f>IF(
    OR(Dashboard_Query[[#This Row],[Monthly Allowance]]="",Dashboard_Query[[#This Row],[Current Usage]]=""),
    "",
    MAX(0,Dashboard_Query[[#This Row],[Monthly Allowance]]-Dashboard_Query[[#This Row],[Current Usage]])
)</f>
        <v>999.97</v>
      </c>
      <c r="S213" s="9">
        <f>IF(OR(Dashboard_Query[[#This Row],[Monthly Allowance]]="",Dashboard_Query[[#This Row],[Current Usage]]=""),"",Dashboard_Query[[#This Row],[Current Usage]]/Dashboard_Query[[#This Row],[Monthly Allowance]])</f>
        <v>2.9999999999999997E-5</v>
      </c>
      <c r="T213" s="9">
        <f>IF(Dashboard_Query[[#This Row],[% Used]]="","",1-Dashboard_Query[[#This Row],[% Used]])</f>
        <v>0.99997000000000003</v>
      </c>
      <c r="U213" s="4">
        <f>IF(OR(Dashboard_Query[[#This Row],[Monthly Allowance]]="",Dashboard_Query[[#This Row],[Current Usage]]=""),"",MAX(0,Dashboard_Query[[#This Row],[Current Usage]]-Dashboard_Query[[#This Row],[Monthly Allowance]]))</f>
        <v>0</v>
      </c>
      <c r="V213" s="4" t="str">
        <f>IF(Dashboard_Query[[#This Row],[Monthly Allowance]]="","",IF(Dashboard_Query[[#This Row],[Overage]]&gt;0,"OVER",IF(Dashboard_Query[[#This Row],[% Used]]&gt;=0.8,"WARNING","OK")))</f>
        <v>OK</v>
      </c>
      <c r="W213" s="1"/>
      <c r="X213" s="1"/>
    </row>
    <row r="214" spans="1:24">
      <c r="A214" s="4" t="s">
        <v>284</v>
      </c>
      <c r="B214" s="4">
        <v>814467</v>
      </c>
      <c r="C214" s="4" t="s">
        <v>245</v>
      </c>
      <c r="D214" s="4" t="s">
        <v>246</v>
      </c>
      <c r="E214" s="4" t="s">
        <v>247</v>
      </c>
      <c r="F214" s="4">
        <v>211121151</v>
      </c>
      <c r="G214" s="6">
        <v>46222</v>
      </c>
      <c r="H214" s="6">
        <v>46222</v>
      </c>
      <c r="I214" s="32">
        <v>46253</v>
      </c>
      <c r="J214" s="1">
        <v>30</v>
      </c>
      <c r="K214" s="4">
        <v>500</v>
      </c>
      <c r="M214" s="4" t="s">
        <v>39</v>
      </c>
      <c r="N214" s="6">
        <v>46222</v>
      </c>
      <c r="O214" s="1">
        <v>50</v>
      </c>
      <c r="P214" s="4">
        <v>0</v>
      </c>
      <c r="Q214" s="4">
        <v>0</v>
      </c>
      <c r="R214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214" s="9">
        <f>IF(OR(Dashboard_Query[[#This Row],[Monthly Allowance]]="",Dashboard_Query[[#This Row],[Current Usage]]=""),"",Dashboard_Query[[#This Row],[Current Usage]]/Dashboard_Query[[#This Row],[Monthly Allowance]])</f>
        <v>0</v>
      </c>
      <c r="T214" s="9">
        <f>IF(Dashboard_Query[[#This Row],[% Used]]="","",1-Dashboard_Query[[#This Row],[% Used]])</f>
        <v>1</v>
      </c>
      <c r="U214" s="4">
        <f>IF(OR(Dashboard_Query[[#This Row],[Monthly Allowance]]="",Dashboard_Query[[#This Row],[Current Usage]]=""),"",MAX(0,Dashboard_Query[[#This Row],[Current Usage]]-Dashboard_Query[[#This Row],[Monthly Allowance]]))</f>
        <v>0</v>
      </c>
      <c r="V214" s="4" t="str">
        <f>IF(Dashboard_Query[[#This Row],[Monthly Allowance]]="","",IF(Dashboard_Query[[#This Row],[Overage]]&gt;0,"OVER",IF(Dashboard_Query[[#This Row],[% Used]]&gt;=0.8,"WARNING","OK")))</f>
        <v>OK</v>
      </c>
      <c r="W214" s="1"/>
      <c r="X214" s="1"/>
    </row>
    <row r="215" spans="1:24" hidden="1">
      <c r="A215" s="4" t="s">
        <v>285</v>
      </c>
      <c r="B215" s="4">
        <v>814458</v>
      </c>
      <c r="C215" s="4"/>
      <c r="D215" s="4"/>
      <c r="E215" s="4"/>
      <c r="F215" s="4"/>
      <c r="G215" s="6"/>
      <c r="H215" s="6"/>
      <c r="I215" s="32"/>
      <c r="J215" s="1"/>
      <c r="K215" s="4">
        <v>500</v>
      </c>
      <c r="M215" s="4" t="s">
        <v>74</v>
      </c>
      <c r="N215" s="6"/>
      <c r="O215" s="1">
        <v>50</v>
      </c>
      <c r="P215" s="4">
        <v>0</v>
      </c>
      <c r="Q215" s="4">
        <v>0</v>
      </c>
      <c r="R215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215" s="9">
        <f>IF(OR(Dashboard_Query[[#This Row],[Monthly Allowance]]="",Dashboard_Query[[#This Row],[Current Usage]]=""),"",Dashboard_Query[[#This Row],[Current Usage]]/Dashboard_Query[[#This Row],[Monthly Allowance]])</f>
        <v>0</v>
      </c>
      <c r="T215" s="9">
        <f>IF(Dashboard_Query[[#This Row],[% Used]]="","",1-Dashboard_Query[[#This Row],[% Used]])</f>
        <v>1</v>
      </c>
      <c r="U215" s="4">
        <f>IF(OR(Dashboard_Query[[#This Row],[Monthly Allowance]]="",Dashboard_Query[[#This Row],[Current Usage]]=""),"",MAX(0,Dashboard_Query[[#This Row],[Current Usage]]-Dashboard_Query[[#This Row],[Monthly Allowance]]))</f>
        <v>0</v>
      </c>
      <c r="V215" s="4" t="str">
        <f>IF(Dashboard_Query[[#This Row],[Monthly Allowance]]="","",IF(Dashboard_Query[[#This Row],[Overage]]&gt;0,"OVER",IF(Dashboard_Query[[#This Row],[% Used]]&gt;=0.8,"WARNING","OK")))</f>
        <v>OK</v>
      </c>
      <c r="W215" s="1"/>
      <c r="X215" s="1"/>
    </row>
    <row r="216" spans="1:24" hidden="1">
      <c r="A216" s="4" t="s">
        <v>286</v>
      </c>
      <c r="B216" s="4">
        <v>814456</v>
      </c>
      <c r="C216" s="4"/>
      <c r="D216" s="4"/>
      <c r="E216" s="4"/>
      <c r="F216" s="4"/>
      <c r="G216" s="6"/>
      <c r="H216" s="6"/>
      <c r="I216" s="32"/>
      <c r="J216" s="1"/>
      <c r="K216" s="4">
        <v>500</v>
      </c>
      <c r="M216" s="4" t="s">
        <v>74</v>
      </c>
      <c r="N216" s="6"/>
      <c r="O216" s="1">
        <v>50</v>
      </c>
      <c r="P216" s="4">
        <v>0</v>
      </c>
      <c r="Q216" s="4">
        <v>0</v>
      </c>
      <c r="R216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216" s="9">
        <f>IF(OR(Dashboard_Query[[#This Row],[Monthly Allowance]]="",Dashboard_Query[[#This Row],[Current Usage]]=""),"",Dashboard_Query[[#This Row],[Current Usage]]/Dashboard_Query[[#This Row],[Monthly Allowance]])</f>
        <v>0</v>
      </c>
      <c r="T216" s="9">
        <f>IF(Dashboard_Query[[#This Row],[% Used]]="","",1-Dashboard_Query[[#This Row],[% Used]])</f>
        <v>1</v>
      </c>
      <c r="U216" s="4">
        <f>IF(OR(Dashboard_Query[[#This Row],[Monthly Allowance]]="",Dashboard_Query[[#This Row],[Current Usage]]=""),"",MAX(0,Dashboard_Query[[#This Row],[Current Usage]]-Dashboard_Query[[#This Row],[Monthly Allowance]]))</f>
        <v>0</v>
      </c>
      <c r="V216" s="4" t="str">
        <f>IF(Dashboard_Query[[#This Row],[Monthly Allowance]]="","",IF(Dashboard_Query[[#This Row],[Overage]]&gt;0,"OVER",IF(Dashboard_Query[[#This Row],[% Used]]&gt;=0.8,"WARNING","OK")))</f>
        <v>OK</v>
      </c>
      <c r="W216" s="1"/>
      <c r="X216" s="1"/>
    </row>
    <row r="217" spans="1:24">
      <c r="A217" s="4" t="s">
        <v>287</v>
      </c>
      <c r="B217" s="4">
        <v>812838</v>
      </c>
      <c r="C217" s="4" t="s">
        <v>47</v>
      </c>
      <c r="D217" s="4" t="s">
        <v>48</v>
      </c>
      <c r="E217" s="4" t="s">
        <v>49</v>
      </c>
      <c r="F217" s="4">
        <v>211120714</v>
      </c>
      <c r="G217" s="6">
        <v>46204</v>
      </c>
      <c r="H217" s="6">
        <v>46204</v>
      </c>
      <c r="I217" s="32">
        <v>46235</v>
      </c>
      <c r="J217" s="1">
        <v>12</v>
      </c>
      <c r="K217" s="4">
        <v>500</v>
      </c>
      <c r="M217" s="4" t="s">
        <v>39</v>
      </c>
      <c r="N217" s="6">
        <v>46204</v>
      </c>
      <c r="O217" s="1">
        <v>50</v>
      </c>
      <c r="P217" s="4">
        <v>0</v>
      </c>
      <c r="Q217" s="4">
        <v>0</v>
      </c>
      <c r="R217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217" s="9">
        <f>IF(OR(Dashboard_Query[[#This Row],[Monthly Allowance]]="",Dashboard_Query[[#This Row],[Current Usage]]=""),"",Dashboard_Query[[#This Row],[Current Usage]]/Dashboard_Query[[#This Row],[Monthly Allowance]])</f>
        <v>0</v>
      </c>
      <c r="T217" s="9">
        <f>IF(Dashboard_Query[[#This Row],[% Used]]="","",1-Dashboard_Query[[#This Row],[% Used]])</f>
        <v>1</v>
      </c>
      <c r="U217" s="4">
        <f>IF(OR(Dashboard_Query[[#This Row],[Monthly Allowance]]="",Dashboard_Query[[#This Row],[Current Usage]]=""),"",MAX(0,Dashboard_Query[[#This Row],[Current Usage]]-Dashboard_Query[[#This Row],[Monthly Allowance]]))</f>
        <v>0</v>
      </c>
      <c r="V217" s="4" t="str">
        <f>IF(Dashboard_Query[[#This Row],[Monthly Allowance]]="","",IF(Dashboard_Query[[#This Row],[Overage]]&gt;0,"OVER",IF(Dashboard_Query[[#This Row],[% Used]]&gt;=0.8,"WARNING","OK")))</f>
        <v>OK</v>
      </c>
      <c r="W217" s="1"/>
      <c r="X217" s="1"/>
    </row>
    <row r="218" spans="1:24">
      <c r="A218" s="4" t="s">
        <v>287</v>
      </c>
      <c r="B218" s="4">
        <v>812838</v>
      </c>
      <c r="C218" s="4" t="s">
        <v>47</v>
      </c>
      <c r="D218" s="4" t="s">
        <v>48</v>
      </c>
      <c r="E218" s="4" t="s">
        <v>49</v>
      </c>
      <c r="F218" s="4">
        <v>211120714</v>
      </c>
      <c r="G218" s="6">
        <v>46204</v>
      </c>
      <c r="H218" s="6">
        <v>46204</v>
      </c>
      <c r="I218" s="32">
        <v>46235</v>
      </c>
      <c r="J218" s="1">
        <v>12</v>
      </c>
      <c r="K218" s="4">
        <v>500</v>
      </c>
      <c r="M218" s="4" t="s">
        <v>39</v>
      </c>
      <c r="N218" s="6">
        <v>46204</v>
      </c>
      <c r="O218" s="1">
        <v>500</v>
      </c>
      <c r="P218" s="4">
        <v>0</v>
      </c>
      <c r="Q218" s="4">
        <v>0</v>
      </c>
      <c r="R218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218" s="9">
        <f>IF(OR(Dashboard_Query[[#This Row],[Monthly Allowance]]="",Dashboard_Query[[#This Row],[Current Usage]]=""),"",Dashboard_Query[[#This Row],[Current Usage]]/Dashboard_Query[[#This Row],[Monthly Allowance]])</f>
        <v>0</v>
      </c>
      <c r="T218" s="9">
        <f>IF(Dashboard_Query[[#This Row],[% Used]]="","",1-Dashboard_Query[[#This Row],[% Used]])</f>
        <v>1</v>
      </c>
      <c r="U218" s="4">
        <f>IF(OR(Dashboard_Query[[#This Row],[Monthly Allowance]]="",Dashboard_Query[[#This Row],[Current Usage]]=""),"",MAX(0,Dashboard_Query[[#This Row],[Current Usage]]-Dashboard_Query[[#This Row],[Monthly Allowance]]))</f>
        <v>0</v>
      </c>
      <c r="V218" s="4" t="str">
        <f>IF(Dashboard_Query[[#This Row],[Monthly Allowance]]="","",IF(Dashboard_Query[[#This Row],[Overage]]&gt;0,"OVER",IF(Dashboard_Query[[#This Row],[% Used]]&gt;=0.8,"WARNING","OK")))</f>
        <v>OK</v>
      </c>
      <c r="W218" s="1"/>
      <c r="X218" s="1"/>
    </row>
    <row r="219" spans="1:24">
      <c r="A219" s="4" t="s">
        <v>288</v>
      </c>
      <c r="B219" s="4">
        <v>814442</v>
      </c>
      <c r="C219" s="4" t="s">
        <v>245</v>
      </c>
      <c r="D219" s="4" t="s">
        <v>246</v>
      </c>
      <c r="E219" s="4" t="s">
        <v>247</v>
      </c>
      <c r="F219" s="4">
        <v>211121151</v>
      </c>
      <c r="G219" s="6">
        <v>46222</v>
      </c>
      <c r="H219" s="6">
        <v>46222</v>
      </c>
      <c r="I219" s="32">
        <v>46253</v>
      </c>
      <c r="J219" s="1">
        <v>30</v>
      </c>
      <c r="K219" s="4">
        <v>500</v>
      </c>
      <c r="M219" s="4" t="s">
        <v>39</v>
      </c>
      <c r="N219" s="6">
        <v>46222</v>
      </c>
      <c r="O219" s="1">
        <v>50</v>
      </c>
      <c r="P219" s="4">
        <v>0</v>
      </c>
      <c r="Q219" s="4">
        <v>0</v>
      </c>
      <c r="R219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219" s="9">
        <f>IF(OR(Dashboard_Query[[#This Row],[Monthly Allowance]]="",Dashboard_Query[[#This Row],[Current Usage]]=""),"",Dashboard_Query[[#This Row],[Current Usage]]/Dashboard_Query[[#This Row],[Monthly Allowance]])</f>
        <v>0</v>
      </c>
      <c r="T219" s="9">
        <f>IF(Dashboard_Query[[#This Row],[% Used]]="","",1-Dashboard_Query[[#This Row],[% Used]])</f>
        <v>1</v>
      </c>
      <c r="U219" s="4">
        <f>IF(OR(Dashboard_Query[[#This Row],[Monthly Allowance]]="",Dashboard_Query[[#This Row],[Current Usage]]=""),"",MAX(0,Dashboard_Query[[#This Row],[Current Usage]]-Dashboard_Query[[#This Row],[Monthly Allowance]]))</f>
        <v>0</v>
      </c>
      <c r="V219" s="4" t="str">
        <f>IF(Dashboard_Query[[#This Row],[Monthly Allowance]]="","",IF(Dashboard_Query[[#This Row],[Overage]]&gt;0,"OVER",IF(Dashboard_Query[[#This Row],[% Used]]&gt;=0.8,"WARNING","OK")))</f>
        <v>OK</v>
      </c>
      <c r="W219" s="1"/>
      <c r="X219" s="1"/>
    </row>
    <row r="220" spans="1:24">
      <c r="A220" s="4" t="s">
        <v>289</v>
      </c>
      <c r="B220" s="4">
        <v>809616</v>
      </c>
      <c r="C220" s="4" t="s">
        <v>290</v>
      </c>
      <c r="D220" s="4" t="s">
        <v>291</v>
      </c>
      <c r="E220" s="4" t="s">
        <v>292</v>
      </c>
      <c r="F220" s="4">
        <v>211120237</v>
      </c>
      <c r="G220" s="6">
        <v>46195</v>
      </c>
      <c r="H220" s="6">
        <v>46195</v>
      </c>
      <c r="I220" s="32">
        <v>46225</v>
      </c>
      <c r="J220" s="1">
        <v>2</v>
      </c>
      <c r="K220" s="4">
        <v>500</v>
      </c>
      <c r="M220" s="4" t="s">
        <v>39</v>
      </c>
      <c r="N220" s="6">
        <v>46195</v>
      </c>
      <c r="O220" s="1">
        <v>500</v>
      </c>
      <c r="P220" s="4">
        <v>0</v>
      </c>
      <c r="Q220" s="4">
        <v>0</v>
      </c>
      <c r="R220" s="4">
        <f>IF(
    OR(Dashboard_Query[[#This Row],[Monthly Allowance]]="",Dashboard_Query[[#This Row],[Current Usage]]=""),
    "",
    MAX(0,Dashboard_Query[[#This Row],[Monthly Allowance]]-Dashboard_Query[[#This Row],[Current Usage]])
)</f>
        <v>500</v>
      </c>
      <c r="S220" s="9">
        <f>IF(OR(Dashboard_Query[[#This Row],[Monthly Allowance]]="",Dashboard_Query[[#This Row],[Current Usage]]=""),"",Dashboard_Query[[#This Row],[Current Usage]]/Dashboard_Query[[#This Row],[Monthly Allowance]])</f>
        <v>0</v>
      </c>
      <c r="T220" s="9">
        <f>IF(Dashboard_Query[[#This Row],[% Used]]="","",1-Dashboard_Query[[#This Row],[% Used]])</f>
        <v>1</v>
      </c>
      <c r="U220" s="4">
        <f>IF(OR(Dashboard_Query[[#This Row],[Monthly Allowance]]="",Dashboard_Query[[#This Row],[Current Usage]]=""),"",MAX(0,Dashboard_Query[[#This Row],[Current Usage]]-Dashboard_Query[[#This Row],[Monthly Allowance]]))</f>
        <v>0</v>
      </c>
      <c r="V220" s="4" t="str">
        <f>IF(Dashboard_Query[[#This Row],[Monthly Allowance]]="","",IF(Dashboard_Query[[#This Row],[Overage]]&gt;0,"OVER",IF(Dashboard_Query[[#This Row],[% Used]]&gt;=0.8,"WARNING","OK")))</f>
        <v>OK</v>
      </c>
      <c r="W220" s="9"/>
      <c r="X220" s="4"/>
    </row>
  </sheetData>
  <mergeCells count="1">
    <mergeCell ref="A1:X2"/>
  </mergeCells>
  <phoneticPr fontId="2" type="noConversion"/>
  <conditionalFormatting sqref="Y1:Y8 V9:V220 Y223:Y1048576">
    <cfRule type="cellIs" dxfId="23" priority="1" operator="equal">
      <formula>"Warning"</formula>
    </cfRule>
    <cfRule type="cellIs" dxfId="22" priority="2" operator="equal">
      <formula>"Over"</formula>
    </cfRule>
    <cfRule type="cellIs" dxfId="21" priority="3" operator="equal">
      <formula>"OK"</formula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A650A-9618-4D7C-B05B-002E95E7C454}">
  <sheetPr>
    <tabColor rgb="FFFFFF00"/>
  </sheetPr>
  <dimension ref="A1:T210"/>
  <sheetViews>
    <sheetView topLeftCell="A162" zoomScale="98" zoomScaleNormal="98" workbookViewId="0">
      <selection activeCell="C13" sqref="C13"/>
    </sheetView>
  </sheetViews>
  <sheetFormatPr defaultColWidth="9" defaultRowHeight="15"/>
  <cols>
    <col min="1" max="1" width="19.875" style="33" bestFit="1" customWidth="1"/>
    <col min="2" max="2" width="19.875" style="33" customWidth="1"/>
    <col min="3" max="3" width="24.5" style="33" bestFit="1" customWidth="1"/>
    <col min="4" max="4" width="18.875" style="33" customWidth="1"/>
    <col min="5" max="5" width="33.5" style="33" customWidth="1"/>
    <col min="6" max="6" width="22.875" style="33" customWidth="1"/>
    <col min="7" max="7" width="19.5" style="33" bestFit="1" customWidth="1"/>
    <col min="8" max="8" width="29" style="33" customWidth="1"/>
    <col min="9" max="9" width="23.5" style="33" customWidth="1"/>
    <col min="10" max="10" width="20.625" style="33" customWidth="1"/>
    <col min="11" max="18" width="9" style="34"/>
    <col min="19" max="19" width="11.625" style="34" customWidth="1"/>
    <col min="20" max="16384" width="9" style="34"/>
  </cols>
  <sheetData>
    <row r="1" spans="1:20">
      <c r="A1" s="33" t="s">
        <v>14</v>
      </c>
      <c r="B1" s="33" t="s">
        <v>15</v>
      </c>
      <c r="C1" s="33" t="s">
        <v>16</v>
      </c>
      <c r="D1" s="33" t="s">
        <v>17</v>
      </c>
      <c r="E1" s="33" t="s">
        <v>18</v>
      </c>
      <c r="F1" s="33" t="s">
        <v>19</v>
      </c>
      <c r="G1" s="33" t="s">
        <v>20</v>
      </c>
      <c r="H1" s="33" t="s">
        <v>24</v>
      </c>
      <c r="I1" s="33" t="s">
        <v>26</v>
      </c>
      <c r="J1" s="33" t="s">
        <v>25</v>
      </c>
    </row>
    <row r="2" spans="1:20">
      <c r="A2" s="33" t="s">
        <v>35</v>
      </c>
      <c r="B2" s="35">
        <v>807635</v>
      </c>
      <c r="C2" s="35" t="s">
        <v>36</v>
      </c>
      <c r="D2" s="35" t="s">
        <v>37</v>
      </c>
      <c r="E2" s="36" t="s">
        <v>38</v>
      </c>
      <c r="F2" s="35">
        <v>211118386</v>
      </c>
      <c r="G2" s="37">
        <v>46170</v>
      </c>
      <c r="H2" s="33">
        <v>500</v>
      </c>
      <c r="I2" s="33" t="s">
        <v>39</v>
      </c>
    </row>
    <row r="3" spans="1:20">
      <c r="A3" s="33" t="s">
        <v>293</v>
      </c>
      <c r="B3" s="35">
        <v>807636</v>
      </c>
      <c r="C3" s="35" t="s">
        <v>36</v>
      </c>
      <c r="D3" s="35" t="s">
        <v>37</v>
      </c>
      <c r="E3" s="35" t="s">
        <v>38</v>
      </c>
      <c r="F3" s="35">
        <v>211118386</v>
      </c>
      <c r="G3" s="37">
        <v>46170</v>
      </c>
      <c r="H3" s="33">
        <v>500</v>
      </c>
      <c r="I3" s="33" t="s">
        <v>39</v>
      </c>
    </row>
    <row r="4" spans="1:20">
      <c r="A4" s="33" t="s">
        <v>294</v>
      </c>
      <c r="B4" s="35">
        <v>809604</v>
      </c>
      <c r="C4" s="35" t="s">
        <v>54</v>
      </c>
      <c r="D4" s="35" t="s">
        <v>55</v>
      </c>
      <c r="E4" s="36" t="s">
        <v>56</v>
      </c>
      <c r="F4" s="35">
        <v>211120934</v>
      </c>
      <c r="G4" s="37">
        <v>46214</v>
      </c>
      <c r="H4" s="33">
        <v>1000</v>
      </c>
      <c r="I4" s="33" t="s">
        <v>39</v>
      </c>
    </row>
    <row r="5" spans="1:20">
      <c r="A5" s="33" t="s">
        <v>295</v>
      </c>
      <c r="B5" s="35">
        <v>809605</v>
      </c>
      <c r="C5" s="35" t="s">
        <v>64</v>
      </c>
      <c r="D5" s="35" t="s">
        <v>65</v>
      </c>
      <c r="E5" s="35" t="s">
        <v>66</v>
      </c>
      <c r="F5" s="35">
        <v>211120610</v>
      </c>
      <c r="G5" s="37">
        <v>46202</v>
      </c>
      <c r="H5" s="33">
        <v>1000</v>
      </c>
      <c r="I5" s="33" t="s">
        <v>39</v>
      </c>
    </row>
    <row r="6" spans="1:20">
      <c r="A6" s="33" t="s">
        <v>296</v>
      </c>
      <c r="B6" s="35">
        <v>809606</v>
      </c>
      <c r="C6" s="38" t="s">
        <v>41</v>
      </c>
      <c r="D6" s="38" t="s">
        <v>42</v>
      </c>
      <c r="E6" s="38" t="s">
        <v>43</v>
      </c>
      <c r="F6" s="38">
        <v>211120662</v>
      </c>
      <c r="G6" s="37">
        <v>46203</v>
      </c>
      <c r="H6" s="33">
        <v>1000</v>
      </c>
      <c r="I6" s="33" t="s">
        <v>39</v>
      </c>
      <c r="T6" s="34" t="s">
        <v>39</v>
      </c>
    </row>
    <row r="7" spans="1:20">
      <c r="A7" s="33" t="s">
        <v>297</v>
      </c>
      <c r="B7" s="30">
        <v>809607</v>
      </c>
      <c r="C7" s="35" t="s">
        <v>54</v>
      </c>
      <c r="D7" s="35" t="s">
        <v>55</v>
      </c>
      <c r="E7" s="36" t="s">
        <v>56</v>
      </c>
      <c r="F7" s="35">
        <v>211120934</v>
      </c>
      <c r="G7" s="37">
        <v>46214</v>
      </c>
      <c r="H7" s="33">
        <v>500</v>
      </c>
      <c r="I7" s="33" t="s">
        <v>39</v>
      </c>
      <c r="T7" s="34" t="s">
        <v>74</v>
      </c>
    </row>
    <row r="8" spans="1:20">
      <c r="A8" s="33" t="s">
        <v>298</v>
      </c>
      <c r="B8" s="30">
        <v>809608</v>
      </c>
      <c r="C8" s="35"/>
      <c r="D8" s="35"/>
      <c r="E8" s="35"/>
      <c r="F8" s="35"/>
      <c r="G8" s="37"/>
      <c r="H8" s="33">
        <v>500</v>
      </c>
      <c r="I8" s="33" t="s">
        <v>74</v>
      </c>
    </row>
    <row r="9" spans="1:20">
      <c r="A9" s="33" t="s">
        <v>299</v>
      </c>
      <c r="B9" s="30">
        <v>809609</v>
      </c>
      <c r="H9" s="33">
        <v>500</v>
      </c>
      <c r="I9" s="33" t="s">
        <v>74</v>
      </c>
    </row>
    <row r="10" spans="1:20">
      <c r="A10" s="33" t="s">
        <v>300</v>
      </c>
      <c r="B10" s="30">
        <v>809610</v>
      </c>
      <c r="C10" s="35" t="s">
        <v>54</v>
      </c>
      <c r="D10" s="35" t="s">
        <v>55</v>
      </c>
      <c r="E10" s="36" t="s">
        <v>56</v>
      </c>
      <c r="F10" s="35">
        <v>211120934</v>
      </c>
      <c r="G10" s="37">
        <v>46214</v>
      </c>
      <c r="H10" s="33">
        <v>500</v>
      </c>
      <c r="I10" s="33" t="s">
        <v>39</v>
      </c>
    </row>
    <row r="11" spans="1:20">
      <c r="A11" s="33" t="s">
        <v>301</v>
      </c>
      <c r="B11" s="30">
        <v>809611</v>
      </c>
      <c r="C11" s="35" t="s">
        <v>54</v>
      </c>
      <c r="D11" s="35" t="s">
        <v>55</v>
      </c>
      <c r="E11" s="36" t="s">
        <v>56</v>
      </c>
      <c r="F11" s="35">
        <v>211120934</v>
      </c>
      <c r="G11" s="37">
        <v>46214</v>
      </c>
      <c r="H11" s="33">
        <v>500</v>
      </c>
      <c r="I11" s="33" t="s">
        <v>39</v>
      </c>
    </row>
    <row r="12" spans="1:20">
      <c r="A12" s="33" t="s">
        <v>302</v>
      </c>
      <c r="B12" s="30">
        <v>809612</v>
      </c>
      <c r="H12" s="33">
        <v>500</v>
      </c>
      <c r="I12" s="33" t="s">
        <v>74</v>
      </c>
    </row>
    <row r="13" spans="1:20">
      <c r="A13" s="33" t="s">
        <v>303</v>
      </c>
      <c r="B13" s="30">
        <v>809613</v>
      </c>
      <c r="H13" s="33">
        <v>500</v>
      </c>
      <c r="I13" s="33" t="s">
        <v>74</v>
      </c>
    </row>
    <row r="14" spans="1:20">
      <c r="A14" s="33" t="s">
        <v>304</v>
      </c>
      <c r="B14" s="30">
        <v>809614</v>
      </c>
      <c r="H14" s="33">
        <v>500</v>
      </c>
      <c r="I14" s="33" t="s">
        <v>74</v>
      </c>
    </row>
    <row r="15" spans="1:20">
      <c r="A15" s="33" t="s">
        <v>305</v>
      </c>
      <c r="B15" s="30">
        <v>809615</v>
      </c>
      <c r="H15" s="33">
        <v>500</v>
      </c>
      <c r="I15" s="33" t="s">
        <v>74</v>
      </c>
    </row>
    <row r="16" spans="1:20">
      <c r="A16" s="33" t="s">
        <v>306</v>
      </c>
      <c r="B16" s="30">
        <v>809616</v>
      </c>
      <c r="C16" s="35" t="s">
        <v>290</v>
      </c>
      <c r="D16" s="35" t="s">
        <v>291</v>
      </c>
      <c r="E16" s="35" t="s">
        <v>292</v>
      </c>
      <c r="F16" s="35">
        <v>211120237</v>
      </c>
      <c r="G16" s="37">
        <v>46195</v>
      </c>
      <c r="H16" s="33">
        <v>500</v>
      </c>
      <c r="I16" s="33" t="s">
        <v>39</v>
      </c>
    </row>
    <row r="17" spans="1:9">
      <c r="A17" s="33" t="s">
        <v>307</v>
      </c>
      <c r="B17" s="30">
        <v>809617</v>
      </c>
      <c r="H17" s="33">
        <v>500</v>
      </c>
      <c r="I17" s="33" t="s">
        <v>74</v>
      </c>
    </row>
    <row r="18" spans="1:9">
      <c r="A18" s="33" t="s">
        <v>308</v>
      </c>
      <c r="B18" s="30">
        <v>809618</v>
      </c>
      <c r="C18" s="35" t="s">
        <v>54</v>
      </c>
      <c r="D18" s="35" t="s">
        <v>55</v>
      </c>
      <c r="E18" s="36" t="s">
        <v>56</v>
      </c>
      <c r="F18" s="35">
        <v>211120934</v>
      </c>
      <c r="G18" s="37">
        <v>46214</v>
      </c>
      <c r="H18" s="33">
        <v>500</v>
      </c>
      <c r="I18" s="33" t="s">
        <v>39</v>
      </c>
    </row>
    <row r="19" spans="1:9">
      <c r="A19" s="33" t="s">
        <v>309</v>
      </c>
      <c r="B19" s="30">
        <v>809619</v>
      </c>
      <c r="H19" s="33">
        <v>500</v>
      </c>
      <c r="I19" s="33" t="s">
        <v>74</v>
      </c>
    </row>
    <row r="20" spans="1:9">
      <c r="A20" s="33" t="s">
        <v>310</v>
      </c>
      <c r="B20" s="30">
        <v>809620</v>
      </c>
      <c r="H20" s="33">
        <v>500</v>
      </c>
      <c r="I20" s="33" t="s">
        <v>74</v>
      </c>
    </row>
    <row r="21" spans="1:9">
      <c r="A21" s="33" t="s">
        <v>311</v>
      </c>
      <c r="B21" s="30">
        <v>809621</v>
      </c>
      <c r="H21" s="33">
        <v>500</v>
      </c>
      <c r="I21" s="33" t="s">
        <v>74</v>
      </c>
    </row>
    <row r="22" spans="1:9">
      <c r="A22" s="33" t="s">
        <v>312</v>
      </c>
      <c r="B22" s="30">
        <v>809622</v>
      </c>
      <c r="H22" s="33">
        <v>500</v>
      </c>
      <c r="I22" s="33" t="s">
        <v>74</v>
      </c>
    </row>
    <row r="23" spans="1:9">
      <c r="A23" s="33" t="s">
        <v>313</v>
      </c>
      <c r="B23" s="30">
        <v>809623</v>
      </c>
      <c r="H23" s="33">
        <v>500</v>
      </c>
      <c r="I23" s="33" t="s">
        <v>74</v>
      </c>
    </row>
    <row r="24" spans="1:9">
      <c r="A24" s="33" t="s">
        <v>314</v>
      </c>
      <c r="B24" s="30">
        <v>809657</v>
      </c>
      <c r="C24" s="35" t="s">
        <v>123</v>
      </c>
      <c r="D24" s="35" t="s">
        <v>124</v>
      </c>
      <c r="E24" s="35" t="s">
        <v>125</v>
      </c>
      <c r="F24" s="35">
        <v>211121067</v>
      </c>
      <c r="G24" s="37">
        <v>46219</v>
      </c>
      <c r="H24" s="33">
        <v>500</v>
      </c>
      <c r="I24" s="33" t="s">
        <v>39</v>
      </c>
    </row>
    <row r="25" spans="1:9">
      <c r="A25" s="33" t="s">
        <v>315</v>
      </c>
      <c r="B25" s="30">
        <v>809658</v>
      </c>
      <c r="C25" s="35" t="s">
        <v>123</v>
      </c>
      <c r="D25" s="35" t="s">
        <v>124</v>
      </c>
      <c r="E25" s="35" t="s">
        <v>125</v>
      </c>
      <c r="F25" s="35">
        <v>211121067</v>
      </c>
      <c r="G25" s="37">
        <v>46219</v>
      </c>
      <c r="H25" s="33">
        <v>500</v>
      </c>
      <c r="I25" s="33" t="s">
        <v>39</v>
      </c>
    </row>
    <row r="26" spans="1:9">
      <c r="A26" s="33" t="s">
        <v>316</v>
      </c>
      <c r="B26" s="30">
        <v>809659</v>
      </c>
      <c r="C26" s="33" t="s">
        <v>146</v>
      </c>
      <c r="D26" s="33" t="s">
        <v>147</v>
      </c>
      <c r="E26" s="33" t="s">
        <v>148</v>
      </c>
      <c r="F26" s="33">
        <v>211121149</v>
      </c>
      <c r="G26" s="37">
        <v>46221</v>
      </c>
      <c r="H26" s="33">
        <v>500</v>
      </c>
      <c r="I26" s="33" t="s">
        <v>39</v>
      </c>
    </row>
    <row r="27" spans="1:9">
      <c r="A27" s="33" t="s">
        <v>317</v>
      </c>
      <c r="B27" s="30">
        <v>809660</v>
      </c>
      <c r="C27" s="33" t="s">
        <v>146</v>
      </c>
      <c r="D27" s="33" t="s">
        <v>147</v>
      </c>
      <c r="E27" s="33" t="s">
        <v>148</v>
      </c>
      <c r="F27" s="33">
        <v>211121149</v>
      </c>
      <c r="G27" s="37">
        <v>46221</v>
      </c>
      <c r="H27" s="33">
        <v>500</v>
      </c>
      <c r="I27" s="33" t="s">
        <v>39</v>
      </c>
    </row>
    <row r="28" spans="1:9">
      <c r="A28" s="33" t="s">
        <v>318</v>
      </c>
      <c r="B28" s="30">
        <v>809661</v>
      </c>
      <c r="C28" s="33" t="s">
        <v>146</v>
      </c>
      <c r="D28" s="33" t="s">
        <v>147</v>
      </c>
      <c r="E28" s="33" t="s">
        <v>148</v>
      </c>
      <c r="F28" s="33">
        <v>211121149</v>
      </c>
      <c r="G28" s="37">
        <v>46221</v>
      </c>
      <c r="H28" s="33">
        <v>500</v>
      </c>
      <c r="I28" s="33" t="s">
        <v>39</v>
      </c>
    </row>
    <row r="29" spans="1:9">
      <c r="A29" s="33" t="s">
        <v>319</v>
      </c>
      <c r="B29" s="30">
        <v>809662</v>
      </c>
      <c r="C29" s="35" t="s">
        <v>54</v>
      </c>
      <c r="D29" s="35" t="s">
        <v>55</v>
      </c>
      <c r="E29" s="36" t="s">
        <v>56</v>
      </c>
      <c r="F29" s="35">
        <v>211120934</v>
      </c>
      <c r="G29" s="39">
        <v>46214</v>
      </c>
      <c r="H29" s="33">
        <v>500</v>
      </c>
      <c r="I29" s="33" t="s">
        <v>39</v>
      </c>
    </row>
    <row r="30" spans="1:9">
      <c r="A30" s="33" t="s">
        <v>320</v>
      </c>
      <c r="B30" s="30">
        <v>809663</v>
      </c>
      <c r="C30" s="35" t="s">
        <v>54</v>
      </c>
      <c r="D30" s="35" t="s">
        <v>55</v>
      </c>
      <c r="E30" s="36" t="s">
        <v>56</v>
      </c>
      <c r="F30" s="35">
        <v>211120934</v>
      </c>
      <c r="G30" s="39">
        <v>46214</v>
      </c>
      <c r="H30" s="33">
        <v>500</v>
      </c>
      <c r="I30" s="33" t="s">
        <v>39</v>
      </c>
    </row>
    <row r="31" spans="1:9">
      <c r="A31" s="33" t="s">
        <v>321</v>
      </c>
      <c r="B31" s="35">
        <v>809859</v>
      </c>
      <c r="C31" s="35" t="s">
        <v>54</v>
      </c>
      <c r="D31" s="35" t="s">
        <v>55</v>
      </c>
      <c r="E31" s="36" t="s">
        <v>56</v>
      </c>
      <c r="F31" s="35">
        <v>211120934</v>
      </c>
      <c r="G31" s="37">
        <v>46214</v>
      </c>
      <c r="H31" s="33">
        <v>500</v>
      </c>
      <c r="I31" s="33" t="s">
        <v>39</v>
      </c>
    </row>
    <row r="32" spans="1:9">
      <c r="A32" s="33" t="s">
        <v>322</v>
      </c>
      <c r="B32" s="30">
        <v>809860</v>
      </c>
      <c r="C32" s="35" t="s">
        <v>123</v>
      </c>
      <c r="D32" s="35" t="s">
        <v>124</v>
      </c>
      <c r="E32" s="35" t="s">
        <v>125</v>
      </c>
      <c r="F32" s="35">
        <v>211121067</v>
      </c>
      <c r="G32" s="37">
        <v>46219</v>
      </c>
      <c r="H32" s="33">
        <v>500</v>
      </c>
      <c r="I32" s="33" t="s">
        <v>39</v>
      </c>
    </row>
    <row r="33" spans="1:9">
      <c r="A33" s="33" t="s">
        <v>323</v>
      </c>
      <c r="B33" s="30">
        <v>809861</v>
      </c>
      <c r="C33" s="35" t="s">
        <v>123</v>
      </c>
      <c r="D33" s="35" t="s">
        <v>124</v>
      </c>
      <c r="E33" s="35" t="s">
        <v>125</v>
      </c>
      <c r="F33" s="35">
        <v>211121067</v>
      </c>
      <c r="G33" s="37">
        <v>46219</v>
      </c>
      <c r="H33" s="33">
        <v>500</v>
      </c>
      <c r="I33" s="33" t="s">
        <v>39</v>
      </c>
    </row>
    <row r="34" spans="1:9">
      <c r="A34" s="33" t="s">
        <v>324</v>
      </c>
      <c r="B34" s="30">
        <v>809862</v>
      </c>
      <c r="C34" s="35" t="s">
        <v>123</v>
      </c>
      <c r="D34" s="35" t="s">
        <v>124</v>
      </c>
      <c r="E34" s="35" t="s">
        <v>125</v>
      </c>
      <c r="F34" s="35">
        <v>211121067</v>
      </c>
      <c r="G34" s="37">
        <v>46219</v>
      </c>
      <c r="H34" s="33">
        <v>500</v>
      </c>
      <c r="I34" s="33" t="s">
        <v>39</v>
      </c>
    </row>
    <row r="35" spans="1:9">
      <c r="A35" s="33" t="s">
        <v>325</v>
      </c>
      <c r="B35" s="30">
        <v>809863</v>
      </c>
      <c r="H35" s="33">
        <v>500</v>
      </c>
      <c r="I35" s="33" t="s">
        <v>74</v>
      </c>
    </row>
    <row r="36" spans="1:9">
      <c r="A36" s="33" t="s">
        <v>326</v>
      </c>
      <c r="B36" s="30">
        <v>809864</v>
      </c>
      <c r="C36" s="33" t="s">
        <v>146</v>
      </c>
      <c r="D36" s="33" t="s">
        <v>147</v>
      </c>
      <c r="E36" s="33" t="s">
        <v>148</v>
      </c>
      <c r="F36" s="33">
        <v>211121149</v>
      </c>
      <c r="G36" s="37">
        <v>46221</v>
      </c>
      <c r="H36" s="33">
        <v>500</v>
      </c>
      <c r="I36" s="33" t="s">
        <v>39</v>
      </c>
    </row>
    <row r="37" spans="1:9">
      <c r="A37" s="33" t="s">
        <v>327</v>
      </c>
      <c r="B37" s="30">
        <v>809865</v>
      </c>
      <c r="C37" s="35" t="s">
        <v>123</v>
      </c>
      <c r="D37" s="35" t="s">
        <v>124</v>
      </c>
      <c r="E37" s="35" t="s">
        <v>125</v>
      </c>
      <c r="F37" s="35">
        <v>211121067</v>
      </c>
      <c r="G37" s="37">
        <v>46219</v>
      </c>
      <c r="H37" s="33">
        <v>500</v>
      </c>
      <c r="I37" s="33" t="s">
        <v>39</v>
      </c>
    </row>
    <row r="38" spans="1:9">
      <c r="A38" s="33" t="s">
        <v>328</v>
      </c>
      <c r="B38" s="30">
        <v>809866</v>
      </c>
      <c r="C38" s="35" t="s">
        <v>123</v>
      </c>
      <c r="D38" s="35" t="s">
        <v>124</v>
      </c>
      <c r="E38" s="35" t="s">
        <v>125</v>
      </c>
      <c r="F38" s="35">
        <v>211121067</v>
      </c>
      <c r="G38" s="37">
        <v>46219</v>
      </c>
      <c r="H38" s="33">
        <v>500</v>
      </c>
      <c r="I38" s="33" t="s">
        <v>39</v>
      </c>
    </row>
    <row r="39" spans="1:9">
      <c r="A39" s="33" t="s">
        <v>329</v>
      </c>
      <c r="B39" s="30">
        <v>809867</v>
      </c>
      <c r="C39" s="35" t="s">
        <v>123</v>
      </c>
      <c r="D39" s="35" t="s">
        <v>124</v>
      </c>
      <c r="E39" s="35" t="s">
        <v>125</v>
      </c>
      <c r="F39" s="35">
        <v>211121067</v>
      </c>
      <c r="G39" s="37">
        <v>46219</v>
      </c>
      <c r="H39" s="33">
        <v>500</v>
      </c>
      <c r="I39" s="33" t="s">
        <v>39</v>
      </c>
    </row>
    <row r="40" spans="1:9">
      <c r="A40" s="33" t="s">
        <v>330</v>
      </c>
      <c r="B40" s="30">
        <v>809868</v>
      </c>
      <c r="C40" s="33" t="s">
        <v>146</v>
      </c>
      <c r="D40" s="33" t="s">
        <v>147</v>
      </c>
      <c r="E40" s="33" t="s">
        <v>148</v>
      </c>
      <c r="F40" s="33">
        <v>211121149</v>
      </c>
      <c r="G40" s="37">
        <v>46221</v>
      </c>
      <c r="H40" s="33">
        <v>500</v>
      </c>
      <c r="I40" s="33" t="s">
        <v>39</v>
      </c>
    </row>
    <row r="41" spans="1:9">
      <c r="A41" s="33" t="s">
        <v>331</v>
      </c>
      <c r="B41" s="30">
        <v>809869</v>
      </c>
      <c r="C41" s="35" t="s">
        <v>123</v>
      </c>
      <c r="D41" s="35" t="s">
        <v>124</v>
      </c>
      <c r="E41" s="35" t="s">
        <v>125</v>
      </c>
      <c r="F41" s="35">
        <v>211121067</v>
      </c>
      <c r="G41" s="37">
        <v>46219</v>
      </c>
      <c r="H41" s="33">
        <v>500</v>
      </c>
      <c r="I41" s="33" t="s">
        <v>39</v>
      </c>
    </row>
    <row r="42" spans="1:9">
      <c r="A42" s="33" t="s">
        <v>332</v>
      </c>
      <c r="B42" s="30">
        <v>809870</v>
      </c>
      <c r="C42" s="33" t="s">
        <v>146</v>
      </c>
      <c r="D42" s="33" t="s">
        <v>147</v>
      </c>
      <c r="E42" s="33" t="s">
        <v>148</v>
      </c>
      <c r="F42" s="33">
        <v>211121149</v>
      </c>
      <c r="G42" s="37">
        <v>46221</v>
      </c>
      <c r="H42" s="33">
        <v>500</v>
      </c>
      <c r="I42" s="33" t="s">
        <v>39</v>
      </c>
    </row>
    <row r="43" spans="1:9">
      <c r="A43" s="33" t="s">
        <v>333</v>
      </c>
      <c r="B43" s="30">
        <v>809871</v>
      </c>
      <c r="C43" s="33" t="s">
        <v>146</v>
      </c>
      <c r="D43" s="33" t="s">
        <v>147</v>
      </c>
      <c r="E43" s="33" t="s">
        <v>148</v>
      </c>
      <c r="F43" s="33">
        <v>211121149</v>
      </c>
      <c r="G43" s="37">
        <v>46221</v>
      </c>
      <c r="H43" s="33">
        <v>500</v>
      </c>
      <c r="I43" s="33" t="s">
        <v>39</v>
      </c>
    </row>
    <row r="44" spans="1:9">
      <c r="A44" s="33" t="s">
        <v>334</v>
      </c>
      <c r="B44" s="30">
        <v>809872</v>
      </c>
      <c r="C44" s="33" t="s">
        <v>146</v>
      </c>
      <c r="D44" s="33" t="s">
        <v>147</v>
      </c>
      <c r="E44" s="33" t="s">
        <v>148</v>
      </c>
      <c r="F44" s="33">
        <v>211121149</v>
      </c>
      <c r="G44" s="37">
        <v>46221</v>
      </c>
      <c r="H44" s="33">
        <v>500</v>
      </c>
      <c r="I44" s="33" t="s">
        <v>39</v>
      </c>
    </row>
    <row r="45" spans="1:9">
      <c r="A45" s="33" t="s">
        <v>335</v>
      </c>
      <c r="B45" s="30">
        <v>809873</v>
      </c>
      <c r="C45" s="33" t="s">
        <v>146</v>
      </c>
      <c r="D45" s="33" t="s">
        <v>147</v>
      </c>
      <c r="E45" s="33" t="s">
        <v>148</v>
      </c>
      <c r="F45" s="33">
        <v>211121149</v>
      </c>
      <c r="G45" s="37">
        <v>46221</v>
      </c>
      <c r="H45" s="33">
        <v>500</v>
      </c>
      <c r="I45" s="33" t="s">
        <v>39</v>
      </c>
    </row>
    <row r="46" spans="1:9">
      <c r="A46" s="33" t="s">
        <v>336</v>
      </c>
      <c r="B46" s="30">
        <v>809874</v>
      </c>
      <c r="C46" s="33" t="s">
        <v>146</v>
      </c>
      <c r="D46" s="33" t="s">
        <v>147</v>
      </c>
      <c r="E46" s="33" t="s">
        <v>148</v>
      </c>
      <c r="F46" s="33">
        <v>211121149</v>
      </c>
      <c r="G46" s="37">
        <v>46221</v>
      </c>
      <c r="H46" s="33">
        <v>500</v>
      </c>
      <c r="I46" s="33" t="s">
        <v>39</v>
      </c>
    </row>
    <row r="47" spans="1:9">
      <c r="A47" s="33" t="s">
        <v>337</v>
      </c>
      <c r="B47" s="30">
        <v>809875</v>
      </c>
      <c r="C47" s="35" t="s">
        <v>123</v>
      </c>
      <c r="D47" s="35" t="s">
        <v>124</v>
      </c>
      <c r="E47" s="35" t="s">
        <v>125</v>
      </c>
      <c r="F47" s="35">
        <v>211121067</v>
      </c>
      <c r="G47" s="37">
        <v>46219</v>
      </c>
      <c r="H47" s="33">
        <v>500</v>
      </c>
      <c r="I47" s="33" t="s">
        <v>39</v>
      </c>
    </row>
    <row r="48" spans="1:9">
      <c r="A48" s="33" t="s">
        <v>338</v>
      </c>
      <c r="B48" s="30">
        <v>809876</v>
      </c>
      <c r="C48" s="35" t="s">
        <v>198</v>
      </c>
      <c r="D48" s="35" t="s">
        <v>108</v>
      </c>
      <c r="E48" s="35" t="s">
        <v>109</v>
      </c>
      <c r="F48" s="35">
        <v>211120839</v>
      </c>
      <c r="G48" s="37">
        <v>46210</v>
      </c>
      <c r="H48" s="33">
        <v>500</v>
      </c>
      <c r="I48" s="33" t="s">
        <v>39</v>
      </c>
    </row>
    <row r="49" spans="1:9">
      <c r="A49" s="33" t="s">
        <v>339</v>
      </c>
      <c r="B49" s="30">
        <v>809877</v>
      </c>
      <c r="C49" s="33" t="s">
        <v>146</v>
      </c>
      <c r="D49" s="33" t="s">
        <v>147</v>
      </c>
      <c r="E49" s="33" t="s">
        <v>148</v>
      </c>
      <c r="F49" s="33">
        <v>211121149</v>
      </c>
      <c r="G49" s="37">
        <v>46221</v>
      </c>
      <c r="H49" s="33">
        <v>500</v>
      </c>
      <c r="I49" s="33" t="s">
        <v>39</v>
      </c>
    </row>
    <row r="50" spans="1:9">
      <c r="A50" s="33" t="s">
        <v>201</v>
      </c>
      <c r="B50" s="30">
        <v>810095</v>
      </c>
      <c r="C50" s="33" t="s">
        <v>146</v>
      </c>
      <c r="D50" s="33" t="s">
        <v>147</v>
      </c>
      <c r="E50" s="33" t="s">
        <v>148</v>
      </c>
      <c r="F50" s="33">
        <v>211121149</v>
      </c>
      <c r="G50" s="37">
        <v>46221</v>
      </c>
      <c r="H50" s="33">
        <v>500</v>
      </c>
      <c r="I50" s="33" t="s">
        <v>39</v>
      </c>
    </row>
    <row r="51" spans="1:9">
      <c r="A51" s="33" t="s">
        <v>340</v>
      </c>
      <c r="B51" s="30">
        <v>810096</v>
      </c>
      <c r="C51" s="33" t="s">
        <v>146</v>
      </c>
      <c r="D51" s="33" t="s">
        <v>147</v>
      </c>
      <c r="E51" s="33" t="s">
        <v>148</v>
      </c>
      <c r="F51" s="33">
        <v>211121149</v>
      </c>
      <c r="G51" s="37">
        <v>46221</v>
      </c>
      <c r="H51" s="33">
        <v>500</v>
      </c>
      <c r="I51" s="33" t="s">
        <v>39</v>
      </c>
    </row>
    <row r="52" spans="1:9">
      <c r="A52" s="33" t="s">
        <v>341</v>
      </c>
      <c r="B52" s="30">
        <v>810097</v>
      </c>
      <c r="C52" s="35" t="s">
        <v>123</v>
      </c>
      <c r="D52" s="35" t="s">
        <v>124</v>
      </c>
      <c r="E52" s="35" t="s">
        <v>125</v>
      </c>
      <c r="F52" s="35">
        <v>211121067</v>
      </c>
      <c r="G52" s="37">
        <v>46219</v>
      </c>
      <c r="H52" s="33">
        <v>500</v>
      </c>
      <c r="I52" s="33" t="s">
        <v>39</v>
      </c>
    </row>
    <row r="53" spans="1:9">
      <c r="A53" s="33" t="s">
        <v>342</v>
      </c>
      <c r="B53" s="30">
        <v>810098</v>
      </c>
      <c r="C53" s="33" t="s">
        <v>146</v>
      </c>
      <c r="D53" s="33" t="s">
        <v>147</v>
      </c>
      <c r="E53" s="33" t="s">
        <v>148</v>
      </c>
      <c r="F53" s="33">
        <v>211121149</v>
      </c>
      <c r="G53" s="37">
        <v>46221</v>
      </c>
      <c r="H53" s="33">
        <v>500</v>
      </c>
      <c r="I53" s="33" t="s">
        <v>39</v>
      </c>
    </row>
    <row r="54" spans="1:9">
      <c r="A54" s="33" t="s">
        <v>343</v>
      </c>
      <c r="B54" s="30">
        <v>810099</v>
      </c>
      <c r="C54" s="35" t="s">
        <v>123</v>
      </c>
      <c r="D54" s="35" t="s">
        <v>124</v>
      </c>
      <c r="E54" s="35" t="s">
        <v>125</v>
      </c>
      <c r="F54" s="35">
        <v>211121067</v>
      </c>
      <c r="G54" s="37">
        <v>46219</v>
      </c>
      <c r="H54" s="33">
        <v>500</v>
      </c>
      <c r="I54" s="33" t="s">
        <v>39</v>
      </c>
    </row>
    <row r="55" spans="1:9">
      <c r="A55" s="33" t="s">
        <v>176</v>
      </c>
      <c r="B55" s="30">
        <v>810100</v>
      </c>
      <c r="C55" s="35" t="s">
        <v>123</v>
      </c>
      <c r="D55" s="35" t="s">
        <v>124</v>
      </c>
      <c r="E55" s="35" t="s">
        <v>125</v>
      </c>
      <c r="F55" s="35">
        <v>211121067</v>
      </c>
      <c r="G55" s="37">
        <v>46219</v>
      </c>
      <c r="H55" s="33">
        <v>500</v>
      </c>
      <c r="I55" s="33" t="s">
        <v>39</v>
      </c>
    </row>
    <row r="56" spans="1:9">
      <c r="A56" s="33" t="s">
        <v>165</v>
      </c>
      <c r="B56" s="30">
        <v>810101</v>
      </c>
      <c r="C56" s="35" t="s">
        <v>123</v>
      </c>
      <c r="D56" s="35" t="s">
        <v>124</v>
      </c>
      <c r="E56" s="35" t="s">
        <v>125</v>
      </c>
      <c r="F56" s="35">
        <v>211121067</v>
      </c>
      <c r="G56" s="37">
        <v>46219</v>
      </c>
      <c r="H56" s="33">
        <v>500</v>
      </c>
      <c r="I56" s="33" t="s">
        <v>39</v>
      </c>
    </row>
    <row r="57" spans="1:9">
      <c r="A57" s="33" t="s">
        <v>344</v>
      </c>
      <c r="B57" s="35">
        <v>810102</v>
      </c>
      <c r="C57" s="35" t="s">
        <v>54</v>
      </c>
      <c r="D57" s="35" t="s">
        <v>55</v>
      </c>
      <c r="E57" s="36" t="s">
        <v>56</v>
      </c>
      <c r="F57" s="35">
        <v>211120934</v>
      </c>
      <c r="G57" s="37">
        <v>46214</v>
      </c>
      <c r="H57" s="33">
        <v>500</v>
      </c>
      <c r="I57" s="33" t="s">
        <v>39</v>
      </c>
    </row>
    <row r="58" spans="1:9">
      <c r="A58" s="33" t="s">
        <v>345</v>
      </c>
      <c r="B58" s="30">
        <v>810103</v>
      </c>
      <c r="H58" s="33">
        <v>500</v>
      </c>
      <c r="I58" s="33" t="s">
        <v>74</v>
      </c>
    </row>
    <row r="59" spans="1:9">
      <c r="A59" s="33" t="s">
        <v>346</v>
      </c>
      <c r="B59" s="30">
        <v>810104</v>
      </c>
      <c r="C59" s="35" t="s">
        <v>123</v>
      </c>
      <c r="D59" s="35" t="s">
        <v>124</v>
      </c>
      <c r="E59" s="35" t="s">
        <v>125</v>
      </c>
      <c r="F59" s="35">
        <v>211121067</v>
      </c>
      <c r="G59" s="37">
        <v>46219</v>
      </c>
      <c r="H59" s="33">
        <v>500</v>
      </c>
      <c r="I59" s="33" t="s">
        <v>39</v>
      </c>
    </row>
    <row r="60" spans="1:9">
      <c r="A60" s="33" t="s">
        <v>347</v>
      </c>
      <c r="B60" s="30">
        <v>810105</v>
      </c>
      <c r="C60" s="33" t="s">
        <v>212</v>
      </c>
      <c r="D60" s="33" t="s">
        <v>213</v>
      </c>
      <c r="E60" s="33" t="s">
        <v>214</v>
      </c>
      <c r="F60" s="33">
        <v>211121141</v>
      </c>
      <c r="G60" s="37">
        <v>46221</v>
      </c>
      <c r="H60" s="33">
        <v>500</v>
      </c>
      <c r="I60" s="33" t="s">
        <v>39</v>
      </c>
    </row>
    <row r="61" spans="1:9">
      <c r="A61" s="33" t="s">
        <v>348</v>
      </c>
      <c r="B61" s="30">
        <v>810106</v>
      </c>
      <c r="C61" s="33" t="s">
        <v>146</v>
      </c>
      <c r="D61" s="33" t="s">
        <v>147</v>
      </c>
      <c r="E61" s="33" t="s">
        <v>148</v>
      </c>
      <c r="F61" s="33">
        <v>211121149</v>
      </c>
      <c r="G61" s="37">
        <v>46221</v>
      </c>
      <c r="H61" s="33">
        <v>500</v>
      </c>
      <c r="I61" s="33" t="s">
        <v>39</v>
      </c>
    </row>
    <row r="62" spans="1:9">
      <c r="A62" s="33" t="s">
        <v>349</v>
      </c>
      <c r="B62" s="30">
        <v>810644</v>
      </c>
      <c r="C62" s="35" t="s">
        <v>123</v>
      </c>
      <c r="D62" s="35" t="s">
        <v>124</v>
      </c>
      <c r="E62" s="35" t="s">
        <v>125</v>
      </c>
      <c r="F62" s="35">
        <v>211121067</v>
      </c>
      <c r="G62" s="37">
        <v>46219</v>
      </c>
      <c r="H62" s="33">
        <v>500</v>
      </c>
      <c r="I62" s="33" t="s">
        <v>39</v>
      </c>
    </row>
    <row r="63" spans="1:9">
      <c r="A63" s="33" t="s">
        <v>350</v>
      </c>
      <c r="B63" s="30">
        <v>810645</v>
      </c>
      <c r="C63" s="35" t="s">
        <v>123</v>
      </c>
      <c r="D63" s="35" t="s">
        <v>124</v>
      </c>
      <c r="E63" s="35" t="s">
        <v>125</v>
      </c>
      <c r="F63" s="35">
        <v>211121067</v>
      </c>
      <c r="G63" s="37">
        <v>46219</v>
      </c>
      <c r="H63" s="33">
        <v>500</v>
      </c>
      <c r="I63" s="33" t="s">
        <v>39</v>
      </c>
    </row>
    <row r="64" spans="1:9">
      <c r="A64" s="33" t="s">
        <v>351</v>
      </c>
      <c r="B64" s="30">
        <v>810646</v>
      </c>
      <c r="C64" s="35" t="s">
        <v>123</v>
      </c>
      <c r="D64" s="35" t="s">
        <v>124</v>
      </c>
      <c r="E64" s="35" t="s">
        <v>125</v>
      </c>
      <c r="F64" s="35">
        <v>211121067</v>
      </c>
      <c r="G64" s="37">
        <v>46219</v>
      </c>
      <c r="H64" s="33">
        <v>500</v>
      </c>
      <c r="I64" s="33" t="s">
        <v>39</v>
      </c>
    </row>
    <row r="65" spans="1:9">
      <c r="A65" s="33" t="s">
        <v>174</v>
      </c>
      <c r="B65" s="30">
        <v>810647</v>
      </c>
      <c r="C65" s="35" t="s">
        <v>123</v>
      </c>
      <c r="D65" s="35" t="s">
        <v>124</v>
      </c>
      <c r="E65" s="35" t="s">
        <v>125</v>
      </c>
      <c r="F65" s="35">
        <v>211121067</v>
      </c>
      <c r="G65" s="37">
        <v>46219</v>
      </c>
      <c r="H65" s="33">
        <v>500</v>
      </c>
      <c r="I65" s="33" t="s">
        <v>39</v>
      </c>
    </row>
    <row r="66" spans="1:9">
      <c r="A66" s="33" t="s">
        <v>352</v>
      </c>
      <c r="B66" s="30">
        <v>810648</v>
      </c>
      <c r="H66" s="33">
        <v>500</v>
      </c>
      <c r="I66" s="33" t="s">
        <v>74</v>
      </c>
    </row>
    <row r="67" spans="1:9">
      <c r="A67" s="33" t="s">
        <v>353</v>
      </c>
      <c r="B67" s="30">
        <v>810649</v>
      </c>
      <c r="C67" s="33" t="s">
        <v>212</v>
      </c>
      <c r="D67" s="33" t="s">
        <v>213</v>
      </c>
      <c r="E67" s="33" t="s">
        <v>214</v>
      </c>
      <c r="F67" s="33">
        <v>211121141</v>
      </c>
      <c r="G67" s="37">
        <v>46221</v>
      </c>
      <c r="H67" s="33">
        <v>500</v>
      </c>
      <c r="I67" s="33" t="s">
        <v>39</v>
      </c>
    </row>
    <row r="68" spans="1:9">
      <c r="A68" s="33" t="s">
        <v>354</v>
      </c>
      <c r="B68" s="30">
        <v>810650</v>
      </c>
      <c r="C68" s="35" t="s">
        <v>123</v>
      </c>
      <c r="D68" s="35" t="s">
        <v>124</v>
      </c>
      <c r="E68" s="35" t="s">
        <v>125</v>
      </c>
      <c r="F68" s="35">
        <v>211121067</v>
      </c>
      <c r="G68" s="37">
        <v>46219</v>
      </c>
      <c r="H68" s="33">
        <v>500</v>
      </c>
      <c r="I68" s="33" t="s">
        <v>39</v>
      </c>
    </row>
    <row r="69" spans="1:9">
      <c r="A69" s="33" t="s">
        <v>232</v>
      </c>
      <c r="B69" s="30">
        <v>810651</v>
      </c>
      <c r="C69" s="33" t="s">
        <v>146</v>
      </c>
      <c r="D69" s="33" t="s">
        <v>147</v>
      </c>
      <c r="E69" s="33" t="s">
        <v>148</v>
      </c>
      <c r="F69" s="33">
        <v>211121149</v>
      </c>
      <c r="G69" s="37">
        <v>46221</v>
      </c>
      <c r="H69" s="33">
        <v>500</v>
      </c>
      <c r="I69" s="33" t="s">
        <v>39</v>
      </c>
    </row>
    <row r="70" spans="1:9">
      <c r="A70" s="33" t="s">
        <v>355</v>
      </c>
      <c r="B70" s="30">
        <v>810831</v>
      </c>
      <c r="C70" s="33" t="s">
        <v>146</v>
      </c>
      <c r="D70" s="33" t="s">
        <v>147</v>
      </c>
      <c r="E70" s="33" t="s">
        <v>148</v>
      </c>
      <c r="F70" s="33">
        <v>211121149</v>
      </c>
      <c r="G70" s="37">
        <v>46221</v>
      </c>
      <c r="H70" s="33">
        <v>500</v>
      </c>
      <c r="I70" s="33" t="s">
        <v>39</v>
      </c>
    </row>
    <row r="71" spans="1:9" ht="17.25" customHeight="1">
      <c r="A71" s="33" t="s">
        <v>356</v>
      </c>
      <c r="B71" s="30">
        <v>810832</v>
      </c>
      <c r="C71" s="33" t="s">
        <v>146</v>
      </c>
      <c r="D71" s="33" t="s">
        <v>147</v>
      </c>
      <c r="E71" s="33" t="s">
        <v>148</v>
      </c>
      <c r="F71" s="33">
        <v>211121149</v>
      </c>
      <c r="G71" s="37">
        <v>46221</v>
      </c>
      <c r="H71" s="33">
        <v>500</v>
      </c>
      <c r="I71" s="33" t="s">
        <v>39</v>
      </c>
    </row>
    <row r="72" spans="1:9">
      <c r="A72" s="33" t="s">
        <v>241</v>
      </c>
      <c r="B72" s="30">
        <v>810833</v>
      </c>
      <c r="C72" s="33" t="s">
        <v>146</v>
      </c>
      <c r="D72" s="33" t="s">
        <v>147</v>
      </c>
      <c r="E72" s="33" t="s">
        <v>148</v>
      </c>
      <c r="F72" s="33">
        <v>211121149</v>
      </c>
      <c r="G72" s="37">
        <v>46221</v>
      </c>
      <c r="H72" s="33">
        <v>500</v>
      </c>
      <c r="I72" s="33" t="s">
        <v>39</v>
      </c>
    </row>
    <row r="73" spans="1:9">
      <c r="A73" s="33" t="s">
        <v>357</v>
      </c>
      <c r="B73" s="30">
        <v>810834</v>
      </c>
      <c r="C73" s="33" t="s">
        <v>146</v>
      </c>
      <c r="D73" s="33" t="s">
        <v>147</v>
      </c>
      <c r="E73" s="33" t="s">
        <v>148</v>
      </c>
      <c r="F73" s="33">
        <v>211121149</v>
      </c>
      <c r="G73" s="37">
        <v>46221</v>
      </c>
      <c r="H73" s="33">
        <v>500</v>
      </c>
      <c r="I73" s="33" t="s">
        <v>39</v>
      </c>
    </row>
    <row r="74" spans="1:9">
      <c r="A74" s="33" t="s">
        <v>358</v>
      </c>
      <c r="B74" s="35">
        <v>812784</v>
      </c>
      <c r="C74" s="35" t="s">
        <v>234</v>
      </c>
      <c r="D74" s="35" t="s">
        <v>108</v>
      </c>
      <c r="E74" s="35" t="s">
        <v>109</v>
      </c>
      <c r="F74" s="35">
        <v>211120836</v>
      </c>
      <c r="G74" s="37">
        <v>46210</v>
      </c>
      <c r="H74" s="33">
        <v>500</v>
      </c>
      <c r="I74" s="33" t="s">
        <v>39</v>
      </c>
    </row>
    <row r="75" spans="1:9">
      <c r="A75" s="33" t="s">
        <v>187</v>
      </c>
      <c r="B75" s="30">
        <v>812794</v>
      </c>
      <c r="C75" s="35" t="s">
        <v>47</v>
      </c>
      <c r="D75" s="35" t="s">
        <v>48</v>
      </c>
      <c r="E75" s="35" t="s">
        <v>49</v>
      </c>
      <c r="F75" s="35">
        <v>211120714</v>
      </c>
      <c r="G75" s="37">
        <v>46204</v>
      </c>
      <c r="H75" s="33">
        <v>500</v>
      </c>
      <c r="I75" s="33" t="s">
        <v>39</v>
      </c>
    </row>
    <row r="76" spans="1:9">
      <c r="A76" s="33" t="s">
        <v>44</v>
      </c>
      <c r="B76" s="30">
        <v>812795</v>
      </c>
      <c r="C76" s="35" t="s">
        <v>41</v>
      </c>
      <c r="D76" s="35" t="s">
        <v>42</v>
      </c>
      <c r="E76" s="38" t="s">
        <v>43</v>
      </c>
      <c r="F76" s="35">
        <v>211120662</v>
      </c>
      <c r="G76" s="37">
        <v>46203</v>
      </c>
      <c r="H76" s="33">
        <v>500</v>
      </c>
      <c r="I76" s="33" t="s">
        <v>39</v>
      </c>
    </row>
    <row r="77" spans="1:9">
      <c r="A77" s="33" t="s">
        <v>359</v>
      </c>
      <c r="B77" s="35">
        <v>812796</v>
      </c>
      <c r="H77" s="33">
        <v>500</v>
      </c>
      <c r="I77" s="33" t="s">
        <v>74</v>
      </c>
    </row>
    <row r="78" spans="1:9">
      <c r="A78" s="33" t="s">
        <v>360</v>
      </c>
      <c r="B78" s="35">
        <v>812797</v>
      </c>
      <c r="C78" s="35" t="s">
        <v>47</v>
      </c>
      <c r="D78" s="35" t="s">
        <v>48</v>
      </c>
      <c r="E78" s="35" t="s">
        <v>49</v>
      </c>
      <c r="F78" s="35">
        <v>211120714</v>
      </c>
      <c r="G78" s="37">
        <v>46204</v>
      </c>
      <c r="H78" s="33">
        <v>500</v>
      </c>
      <c r="I78" s="33" t="s">
        <v>39</v>
      </c>
    </row>
    <row r="79" spans="1:9">
      <c r="A79" s="33" t="s">
        <v>361</v>
      </c>
      <c r="B79" s="35">
        <v>812798</v>
      </c>
      <c r="C79" s="35" t="s">
        <v>47</v>
      </c>
      <c r="D79" s="35" t="s">
        <v>48</v>
      </c>
      <c r="E79" s="35" t="s">
        <v>49</v>
      </c>
      <c r="F79" s="35">
        <v>211120714</v>
      </c>
      <c r="G79" s="37">
        <v>46204</v>
      </c>
      <c r="H79" s="33">
        <v>500</v>
      </c>
      <c r="I79" s="33" t="s">
        <v>39</v>
      </c>
    </row>
    <row r="80" spans="1:9">
      <c r="A80" s="33" t="s">
        <v>52</v>
      </c>
      <c r="B80" s="30">
        <v>812799</v>
      </c>
      <c r="C80" s="35" t="s">
        <v>47</v>
      </c>
      <c r="D80" s="35" t="s">
        <v>48</v>
      </c>
      <c r="E80" s="35" t="s">
        <v>49</v>
      </c>
      <c r="F80" s="35">
        <v>211120714</v>
      </c>
      <c r="G80" s="37">
        <v>46204</v>
      </c>
      <c r="H80" s="33">
        <v>500</v>
      </c>
      <c r="I80" s="33" t="s">
        <v>39</v>
      </c>
    </row>
    <row r="81" spans="1:9">
      <c r="A81" s="33" t="s">
        <v>46</v>
      </c>
      <c r="B81" s="35">
        <v>812800</v>
      </c>
      <c r="C81" s="35" t="s">
        <v>47</v>
      </c>
      <c r="D81" s="35" t="s">
        <v>48</v>
      </c>
      <c r="E81" s="35" t="s">
        <v>49</v>
      </c>
      <c r="F81" s="35">
        <v>211120714</v>
      </c>
      <c r="G81" s="37">
        <v>46204</v>
      </c>
      <c r="H81" s="33">
        <v>500</v>
      </c>
      <c r="I81" s="33" t="s">
        <v>39</v>
      </c>
    </row>
    <row r="82" spans="1:9">
      <c r="A82" s="33" t="s">
        <v>128</v>
      </c>
      <c r="B82" s="30">
        <v>812801</v>
      </c>
      <c r="C82" s="35" t="s">
        <v>117</v>
      </c>
      <c r="D82" s="35" t="s">
        <v>42</v>
      </c>
      <c r="E82" s="35" t="s">
        <v>118</v>
      </c>
      <c r="F82" s="35">
        <v>211120259</v>
      </c>
      <c r="G82" s="37">
        <v>46189</v>
      </c>
      <c r="H82" s="33">
        <v>500</v>
      </c>
      <c r="I82" s="33" t="s">
        <v>39</v>
      </c>
    </row>
    <row r="83" spans="1:9">
      <c r="A83" s="33" t="s">
        <v>362</v>
      </c>
      <c r="B83" s="35">
        <v>812802</v>
      </c>
      <c r="C83" s="35" t="s">
        <v>117</v>
      </c>
      <c r="D83" s="35" t="s">
        <v>42</v>
      </c>
      <c r="E83" s="35" t="s">
        <v>118</v>
      </c>
      <c r="F83" s="35">
        <v>211120259</v>
      </c>
      <c r="G83" s="37">
        <v>46189</v>
      </c>
      <c r="H83" s="33">
        <v>500</v>
      </c>
      <c r="I83" s="33" t="s">
        <v>39</v>
      </c>
    </row>
    <row r="84" spans="1:9">
      <c r="A84" s="33" t="s">
        <v>363</v>
      </c>
      <c r="B84" s="35">
        <v>812803</v>
      </c>
      <c r="C84" s="35" t="s">
        <v>41</v>
      </c>
      <c r="D84" s="35" t="s">
        <v>42</v>
      </c>
      <c r="E84" s="38" t="s">
        <v>43</v>
      </c>
      <c r="F84" s="35">
        <v>211120721</v>
      </c>
      <c r="G84" s="37">
        <v>46204</v>
      </c>
      <c r="H84" s="33">
        <v>500</v>
      </c>
      <c r="I84" s="33" t="s">
        <v>39</v>
      </c>
    </row>
    <row r="85" spans="1:9">
      <c r="A85" s="33" t="s">
        <v>364</v>
      </c>
      <c r="B85" s="35">
        <v>812804</v>
      </c>
      <c r="C85" s="35" t="s">
        <v>47</v>
      </c>
      <c r="D85" s="35" t="s">
        <v>48</v>
      </c>
      <c r="E85" s="35" t="s">
        <v>49</v>
      </c>
      <c r="F85" s="35">
        <v>211120714</v>
      </c>
      <c r="G85" s="37">
        <v>46204</v>
      </c>
      <c r="H85" s="33">
        <v>500</v>
      </c>
      <c r="I85" s="33" t="s">
        <v>39</v>
      </c>
    </row>
    <row r="86" spans="1:9">
      <c r="A86" s="33" t="s">
        <v>365</v>
      </c>
      <c r="B86" s="35">
        <v>812805</v>
      </c>
      <c r="C86" s="35" t="s">
        <v>47</v>
      </c>
      <c r="D86" s="35" t="s">
        <v>48</v>
      </c>
      <c r="E86" s="35" t="s">
        <v>49</v>
      </c>
      <c r="F86" s="35">
        <v>211120714</v>
      </c>
      <c r="G86" s="37">
        <v>46204</v>
      </c>
      <c r="H86" s="33">
        <v>500</v>
      </c>
      <c r="I86" s="33" t="s">
        <v>39</v>
      </c>
    </row>
    <row r="87" spans="1:9">
      <c r="A87" s="33" t="s">
        <v>366</v>
      </c>
      <c r="B87" s="35">
        <v>812806</v>
      </c>
      <c r="C87" s="35" t="s">
        <v>47</v>
      </c>
      <c r="D87" s="35" t="s">
        <v>48</v>
      </c>
      <c r="E87" s="35" t="s">
        <v>49</v>
      </c>
      <c r="F87" s="35">
        <v>211120714</v>
      </c>
      <c r="G87" s="37">
        <v>46204</v>
      </c>
      <c r="H87" s="33">
        <v>500</v>
      </c>
      <c r="I87" s="33" t="s">
        <v>39</v>
      </c>
    </row>
    <row r="88" spans="1:9">
      <c r="A88" s="33" t="s">
        <v>367</v>
      </c>
      <c r="B88" s="35">
        <v>812807</v>
      </c>
      <c r="C88" s="35" t="s">
        <v>47</v>
      </c>
      <c r="D88" s="35" t="s">
        <v>48</v>
      </c>
      <c r="E88" s="35" t="s">
        <v>49</v>
      </c>
      <c r="F88" s="35">
        <v>211120714</v>
      </c>
      <c r="G88" s="37">
        <v>46204</v>
      </c>
      <c r="H88" s="33">
        <v>500</v>
      </c>
      <c r="I88" s="33" t="s">
        <v>39</v>
      </c>
    </row>
    <row r="89" spans="1:9">
      <c r="A89" s="33" t="s">
        <v>368</v>
      </c>
      <c r="B89" s="35">
        <v>812808</v>
      </c>
      <c r="C89" s="35" t="s">
        <v>47</v>
      </c>
      <c r="D89" s="35" t="s">
        <v>48</v>
      </c>
      <c r="E89" s="35" t="s">
        <v>49</v>
      </c>
      <c r="F89" s="35">
        <v>211120714</v>
      </c>
      <c r="G89" s="37">
        <v>46204</v>
      </c>
      <c r="H89" s="33">
        <v>500</v>
      </c>
      <c r="I89" s="33" t="s">
        <v>39</v>
      </c>
    </row>
    <row r="90" spans="1:9">
      <c r="A90" s="33" t="s">
        <v>369</v>
      </c>
      <c r="B90" s="30">
        <v>812809</v>
      </c>
      <c r="H90" s="33">
        <v>500</v>
      </c>
      <c r="I90" s="33" t="s">
        <v>74</v>
      </c>
    </row>
    <row r="91" spans="1:9">
      <c r="A91" s="33" t="s">
        <v>370</v>
      </c>
      <c r="B91" s="30">
        <v>812810</v>
      </c>
      <c r="H91" s="33">
        <v>500</v>
      </c>
      <c r="I91" s="33" t="s">
        <v>74</v>
      </c>
    </row>
    <row r="92" spans="1:9">
      <c r="A92" s="33" t="s">
        <v>371</v>
      </c>
      <c r="B92" s="35">
        <v>812811</v>
      </c>
      <c r="C92" s="35" t="s">
        <v>223</v>
      </c>
      <c r="D92" s="35" t="s">
        <v>224</v>
      </c>
      <c r="E92" s="35" t="s">
        <v>225</v>
      </c>
      <c r="F92" s="35">
        <v>211120865</v>
      </c>
      <c r="G92" s="37">
        <v>46211</v>
      </c>
      <c r="H92" s="33">
        <v>500</v>
      </c>
      <c r="I92" s="33" t="s">
        <v>39</v>
      </c>
    </row>
    <row r="93" spans="1:9">
      <c r="A93" s="33" t="s">
        <v>372</v>
      </c>
      <c r="B93" s="35">
        <v>812812</v>
      </c>
      <c r="C93" s="35" t="s">
        <v>117</v>
      </c>
      <c r="D93" s="35" t="s">
        <v>42</v>
      </c>
      <c r="E93" s="35" t="s">
        <v>118</v>
      </c>
      <c r="F93" s="35">
        <v>211120259</v>
      </c>
      <c r="G93" s="37">
        <v>46189</v>
      </c>
      <c r="H93" s="33">
        <v>500</v>
      </c>
      <c r="I93" s="33" t="s">
        <v>39</v>
      </c>
    </row>
    <row r="94" spans="1:9">
      <c r="A94" s="33" t="s">
        <v>106</v>
      </c>
      <c r="B94" s="30">
        <v>812813</v>
      </c>
      <c r="C94" s="35" t="s">
        <v>107</v>
      </c>
      <c r="D94" s="35" t="s">
        <v>108</v>
      </c>
      <c r="E94" s="35" t="s">
        <v>109</v>
      </c>
      <c r="F94" s="35">
        <v>211120837</v>
      </c>
      <c r="G94" s="37">
        <v>46210</v>
      </c>
      <c r="H94" s="33">
        <v>500</v>
      </c>
      <c r="I94" s="33" t="s">
        <v>39</v>
      </c>
    </row>
    <row r="95" spans="1:9">
      <c r="A95" s="33" t="s">
        <v>373</v>
      </c>
      <c r="B95" s="33">
        <v>812814</v>
      </c>
      <c r="H95" s="33">
        <v>500</v>
      </c>
      <c r="I95" s="33" t="s">
        <v>74</v>
      </c>
    </row>
    <row r="96" spans="1:9">
      <c r="A96" s="33" t="s">
        <v>374</v>
      </c>
      <c r="B96" s="35">
        <v>812815</v>
      </c>
      <c r="C96" s="35" t="s">
        <v>47</v>
      </c>
      <c r="D96" s="35" t="s">
        <v>48</v>
      </c>
      <c r="E96" s="35" t="s">
        <v>49</v>
      </c>
      <c r="F96" s="35">
        <v>211120714</v>
      </c>
      <c r="G96" s="37">
        <v>46204</v>
      </c>
      <c r="H96" s="33">
        <v>500</v>
      </c>
      <c r="I96" s="33" t="s">
        <v>39</v>
      </c>
    </row>
    <row r="97" spans="1:9">
      <c r="A97" s="33" t="s">
        <v>375</v>
      </c>
      <c r="B97" s="30">
        <v>812816</v>
      </c>
      <c r="H97" s="33">
        <v>500</v>
      </c>
      <c r="I97" s="33" t="s">
        <v>74</v>
      </c>
    </row>
    <row r="98" spans="1:9">
      <c r="A98" s="33" t="s">
        <v>274</v>
      </c>
      <c r="B98" s="30">
        <v>812817</v>
      </c>
      <c r="H98" s="33">
        <v>500</v>
      </c>
      <c r="I98" s="33" t="s">
        <v>74</v>
      </c>
    </row>
    <row r="99" spans="1:9">
      <c r="A99" s="33" t="s">
        <v>376</v>
      </c>
      <c r="B99" s="35">
        <v>812818</v>
      </c>
      <c r="C99" s="35" t="s">
        <v>223</v>
      </c>
      <c r="D99" s="35" t="s">
        <v>224</v>
      </c>
      <c r="E99" s="35" t="s">
        <v>225</v>
      </c>
      <c r="F99" s="35">
        <v>211120865</v>
      </c>
      <c r="G99" s="37">
        <v>46211</v>
      </c>
      <c r="H99" s="33">
        <v>500</v>
      </c>
      <c r="I99" s="33" t="s">
        <v>39</v>
      </c>
    </row>
    <row r="100" spans="1:9">
      <c r="A100" s="33" t="s">
        <v>377</v>
      </c>
      <c r="B100" s="35">
        <v>812819</v>
      </c>
      <c r="C100" s="35" t="s">
        <v>41</v>
      </c>
      <c r="D100" s="35" t="s">
        <v>42</v>
      </c>
      <c r="E100" s="38" t="s">
        <v>43</v>
      </c>
      <c r="F100" s="35">
        <v>211120721</v>
      </c>
      <c r="G100" s="37">
        <v>46204</v>
      </c>
      <c r="H100" s="33">
        <v>500</v>
      </c>
      <c r="I100" s="33" t="s">
        <v>39</v>
      </c>
    </row>
    <row r="101" spans="1:9">
      <c r="A101" s="33" t="s">
        <v>51</v>
      </c>
      <c r="B101" s="30">
        <v>812820</v>
      </c>
      <c r="C101" s="35" t="s">
        <v>47</v>
      </c>
      <c r="D101" s="35" t="s">
        <v>48</v>
      </c>
      <c r="E101" s="35" t="s">
        <v>49</v>
      </c>
      <c r="F101" s="35">
        <v>211120714</v>
      </c>
      <c r="G101" s="37">
        <v>46204</v>
      </c>
      <c r="H101" s="33">
        <v>500</v>
      </c>
      <c r="I101" s="33" t="s">
        <v>39</v>
      </c>
    </row>
    <row r="102" spans="1:9">
      <c r="A102" s="33" t="s">
        <v>378</v>
      </c>
      <c r="B102" s="35">
        <v>812821</v>
      </c>
      <c r="C102" s="35" t="s">
        <v>41</v>
      </c>
      <c r="D102" s="35" t="s">
        <v>42</v>
      </c>
      <c r="E102" s="38" t="s">
        <v>43</v>
      </c>
      <c r="F102" s="35">
        <v>211120721</v>
      </c>
      <c r="G102" s="37">
        <v>46204</v>
      </c>
      <c r="H102" s="33">
        <v>500</v>
      </c>
      <c r="I102" s="33" t="s">
        <v>39</v>
      </c>
    </row>
    <row r="103" spans="1:9">
      <c r="A103" s="33" t="s">
        <v>237</v>
      </c>
      <c r="B103" s="35">
        <v>812822</v>
      </c>
      <c r="C103" s="35" t="s">
        <v>47</v>
      </c>
      <c r="D103" s="35" t="s">
        <v>48</v>
      </c>
      <c r="E103" s="35" t="s">
        <v>49</v>
      </c>
      <c r="F103" s="35">
        <v>211120714</v>
      </c>
      <c r="G103" s="37">
        <v>46204</v>
      </c>
      <c r="H103" s="33">
        <v>500</v>
      </c>
      <c r="I103" s="33" t="s">
        <v>39</v>
      </c>
    </row>
    <row r="104" spans="1:9">
      <c r="A104" s="33" t="s">
        <v>379</v>
      </c>
      <c r="B104" s="35">
        <v>812823</v>
      </c>
      <c r="C104" s="35" t="s">
        <v>47</v>
      </c>
      <c r="D104" s="35" t="s">
        <v>48</v>
      </c>
      <c r="E104" s="35" t="s">
        <v>49</v>
      </c>
      <c r="F104" s="35">
        <v>211120714</v>
      </c>
      <c r="G104" s="37">
        <v>46204</v>
      </c>
      <c r="H104" s="33">
        <v>500</v>
      </c>
      <c r="I104" s="33" t="s">
        <v>39</v>
      </c>
    </row>
    <row r="105" spans="1:9">
      <c r="A105" s="33" t="s">
        <v>380</v>
      </c>
      <c r="B105" s="35">
        <v>812824</v>
      </c>
      <c r="C105" s="35" t="s">
        <v>41</v>
      </c>
      <c r="D105" s="35" t="s">
        <v>42</v>
      </c>
      <c r="E105" s="38" t="s">
        <v>43</v>
      </c>
      <c r="F105" s="35">
        <v>211120662</v>
      </c>
      <c r="G105" s="37">
        <v>46203</v>
      </c>
      <c r="H105" s="33">
        <v>500</v>
      </c>
      <c r="I105" s="33" t="s">
        <v>39</v>
      </c>
    </row>
    <row r="106" spans="1:9">
      <c r="A106" s="33" t="s">
        <v>381</v>
      </c>
      <c r="B106" s="35">
        <v>812825</v>
      </c>
      <c r="C106" s="35" t="s">
        <v>47</v>
      </c>
      <c r="D106" s="35" t="s">
        <v>48</v>
      </c>
      <c r="E106" s="35" t="s">
        <v>49</v>
      </c>
      <c r="F106" s="35">
        <v>211120714</v>
      </c>
      <c r="G106" s="37">
        <v>46204</v>
      </c>
      <c r="H106" s="33">
        <v>500</v>
      </c>
      <c r="I106" s="33" t="s">
        <v>39</v>
      </c>
    </row>
    <row r="107" spans="1:9">
      <c r="A107" s="33" t="s">
        <v>382</v>
      </c>
      <c r="B107" s="35">
        <v>812826</v>
      </c>
      <c r="C107" s="35" t="s">
        <v>41</v>
      </c>
      <c r="D107" s="35" t="s">
        <v>42</v>
      </c>
      <c r="E107" s="38" t="s">
        <v>43</v>
      </c>
      <c r="F107" s="35">
        <v>211120662</v>
      </c>
      <c r="G107" s="39">
        <v>46203</v>
      </c>
      <c r="H107" s="33">
        <v>500</v>
      </c>
      <c r="I107" s="33" t="s">
        <v>39</v>
      </c>
    </row>
    <row r="108" spans="1:9">
      <c r="A108" s="33" t="s">
        <v>383</v>
      </c>
      <c r="B108" s="35">
        <v>812827</v>
      </c>
      <c r="H108" s="33">
        <v>500</v>
      </c>
      <c r="I108" s="33" t="s">
        <v>74</v>
      </c>
    </row>
    <row r="109" spans="1:9">
      <c r="A109" s="33" t="s">
        <v>282</v>
      </c>
      <c r="B109" s="30">
        <v>812828</v>
      </c>
      <c r="H109" s="33">
        <v>500</v>
      </c>
      <c r="I109" s="33" t="s">
        <v>74</v>
      </c>
    </row>
    <row r="110" spans="1:9">
      <c r="A110" s="33" t="s">
        <v>384</v>
      </c>
      <c r="B110" s="35">
        <v>812829</v>
      </c>
      <c r="C110" s="35" t="s">
        <v>41</v>
      </c>
      <c r="D110" s="35" t="s">
        <v>42</v>
      </c>
      <c r="E110" s="38" t="s">
        <v>43</v>
      </c>
      <c r="F110" s="35">
        <v>211120662</v>
      </c>
      <c r="G110" s="37">
        <v>46203</v>
      </c>
      <c r="H110" s="33">
        <v>500</v>
      </c>
      <c r="I110" s="33" t="s">
        <v>39</v>
      </c>
    </row>
    <row r="111" spans="1:9">
      <c r="A111" s="33" t="s">
        <v>385</v>
      </c>
      <c r="B111" s="35">
        <v>812830</v>
      </c>
      <c r="C111" s="38" t="s">
        <v>47</v>
      </c>
      <c r="D111" s="38" t="s">
        <v>48</v>
      </c>
      <c r="E111" s="35" t="s">
        <v>49</v>
      </c>
      <c r="F111" s="38">
        <v>211120714</v>
      </c>
      <c r="G111" s="39">
        <v>46204</v>
      </c>
      <c r="H111" s="33">
        <v>500</v>
      </c>
      <c r="I111" s="33" t="s">
        <v>39</v>
      </c>
    </row>
    <row r="112" spans="1:9">
      <c r="A112" s="33" t="s">
        <v>386</v>
      </c>
      <c r="B112" s="35">
        <v>812831</v>
      </c>
      <c r="C112" s="35" t="s">
        <v>117</v>
      </c>
      <c r="D112" s="35" t="s">
        <v>42</v>
      </c>
      <c r="E112" s="35" t="s">
        <v>118</v>
      </c>
      <c r="F112" s="35">
        <v>211120259</v>
      </c>
      <c r="G112" s="37">
        <v>46189</v>
      </c>
      <c r="H112" s="33">
        <v>500</v>
      </c>
      <c r="I112" s="33" t="s">
        <v>39</v>
      </c>
    </row>
    <row r="113" spans="1:9">
      <c r="A113" s="33" t="s">
        <v>387</v>
      </c>
      <c r="B113" s="35">
        <v>812832</v>
      </c>
      <c r="C113" s="35" t="s">
        <v>41</v>
      </c>
      <c r="D113" s="35" t="s">
        <v>42</v>
      </c>
      <c r="E113" s="38" t="s">
        <v>43</v>
      </c>
      <c r="F113" s="35">
        <v>211120721</v>
      </c>
      <c r="G113" s="37">
        <v>46204</v>
      </c>
      <c r="H113" s="33">
        <v>500</v>
      </c>
      <c r="I113" s="33" t="s">
        <v>39</v>
      </c>
    </row>
    <row r="114" spans="1:9">
      <c r="A114" s="33" t="s">
        <v>388</v>
      </c>
      <c r="B114" s="35">
        <v>812833</v>
      </c>
      <c r="C114" s="35" t="s">
        <v>41</v>
      </c>
      <c r="D114" s="35" t="s">
        <v>42</v>
      </c>
      <c r="E114" s="38" t="s">
        <v>43</v>
      </c>
      <c r="F114" s="35">
        <v>211120721</v>
      </c>
      <c r="G114" s="37">
        <v>46204</v>
      </c>
      <c r="H114" s="33">
        <v>500</v>
      </c>
      <c r="I114" s="33" t="s">
        <v>39</v>
      </c>
    </row>
    <row r="115" spans="1:9">
      <c r="A115" s="33" t="s">
        <v>150</v>
      </c>
      <c r="B115" s="30">
        <v>812834</v>
      </c>
      <c r="C115" s="35" t="s">
        <v>47</v>
      </c>
      <c r="D115" s="35" t="s">
        <v>48</v>
      </c>
      <c r="E115" s="35" t="s">
        <v>49</v>
      </c>
      <c r="F115" s="35">
        <v>211120714</v>
      </c>
      <c r="G115" s="37">
        <v>46204</v>
      </c>
      <c r="H115" s="33">
        <v>500</v>
      </c>
      <c r="I115" s="33" t="s">
        <v>39</v>
      </c>
    </row>
    <row r="116" spans="1:9">
      <c r="A116" s="33" t="s">
        <v>389</v>
      </c>
      <c r="B116" s="35">
        <v>812835</v>
      </c>
      <c r="C116" s="35" t="s">
        <v>47</v>
      </c>
      <c r="D116" s="35" t="s">
        <v>48</v>
      </c>
      <c r="E116" s="35" t="s">
        <v>49</v>
      </c>
      <c r="F116" s="35">
        <v>211120714</v>
      </c>
      <c r="G116" s="39">
        <v>46204</v>
      </c>
      <c r="H116" s="33">
        <v>500</v>
      </c>
      <c r="I116" s="33" t="s">
        <v>39</v>
      </c>
    </row>
    <row r="117" spans="1:9">
      <c r="A117" s="33" t="s">
        <v>390</v>
      </c>
      <c r="B117" s="35">
        <v>812836</v>
      </c>
      <c r="C117" s="35" t="s">
        <v>47</v>
      </c>
      <c r="D117" s="35" t="s">
        <v>48</v>
      </c>
      <c r="E117" s="35" t="s">
        <v>49</v>
      </c>
      <c r="F117" s="35">
        <v>211120714</v>
      </c>
      <c r="G117" s="37">
        <v>46204</v>
      </c>
      <c r="H117" s="33">
        <v>500</v>
      </c>
      <c r="I117" s="33" t="s">
        <v>39</v>
      </c>
    </row>
    <row r="118" spans="1:9">
      <c r="A118" s="33" t="s">
        <v>391</v>
      </c>
      <c r="B118" s="35">
        <v>812837</v>
      </c>
      <c r="C118" s="35" t="s">
        <v>41</v>
      </c>
      <c r="D118" s="35" t="s">
        <v>42</v>
      </c>
      <c r="E118" s="38" t="s">
        <v>43</v>
      </c>
      <c r="F118" s="35">
        <v>211120721</v>
      </c>
      <c r="G118" s="37">
        <v>46204</v>
      </c>
      <c r="H118" s="33">
        <v>500</v>
      </c>
      <c r="I118" s="33" t="s">
        <v>39</v>
      </c>
    </row>
    <row r="119" spans="1:9">
      <c r="A119" s="33" t="s">
        <v>392</v>
      </c>
      <c r="B119" s="35">
        <v>812838</v>
      </c>
      <c r="C119" s="35" t="s">
        <v>47</v>
      </c>
      <c r="D119" s="35" t="s">
        <v>48</v>
      </c>
      <c r="E119" s="35" t="s">
        <v>49</v>
      </c>
      <c r="F119" s="35">
        <v>211120714</v>
      </c>
      <c r="G119" s="37">
        <v>46204</v>
      </c>
      <c r="H119" s="33">
        <v>500</v>
      </c>
      <c r="I119" s="33" t="s">
        <v>39</v>
      </c>
    </row>
    <row r="120" spans="1:9">
      <c r="A120" s="33" t="s">
        <v>393</v>
      </c>
      <c r="B120" s="30">
        <v>812839</v>
      </c>
      <c r="C120" s="35" t="s">
        <v>41</v>
      </c>
      <c r="D120" s="35" t="s">
        <v>42</v>
      </c>
      <c r="E120" s="38" t="s">
        <v>43</v>
      </c>
      <c r="F120" s="35">
        <v>211120662</v>
      </c>
      <c r="G120" s="37">
        <v>46203</v>
      </c>
      <c r="H120" s="33">
        <v>500</v>
      </c>
      <c r="I120" s="33" t="s">
        <v>39</v>
      </c>
    </row>
    <row r="121" spans="1:9">
      <c r="A121" s="33" t="s">
        <v>394</v>
      </c>
      <c r="B121" s="35">
        <v>812840</v>
      </c>
      <c r="C121" s="35" t="s">
        <v>47</v>
      </c>
      <c r="D121" s="35" t="s">
        <v>48</v>
      </c>
      <c r="E121" s="35" t="s">
        <v>49</v>
      </c>
      <c r="F121" s="35">
        <v>211120714</v>
      </c>
      <c r="G121" s="37">
        <v>46204</v>
      </c>
      <c r="H121" s="33">
        <v>500</v>
      </c>
      <c r="I121" s="33" t="s">
        <v>39</v>
      </c>
    </row>
    <row r="122" spans="1:9">
      <c r="A122" s="33" t="s">
        <v>395</v>
      </c>
      <c r="B122" s="35">
        <v>812841</v>
      </c>
      <c r="H122" s="33">
        <v>500</v>
      </c>
      <c r="I122" s="33" t="s">
        <v>74</v>
      </c>
    </row>
    <row r="123" spans="1:9">
      <c r="A123" s="33" t="s">
        <v>396</v>
      </c>
      <c r="B123" s="35">
        <v>812842</v>
      </c>
      <c r="C123" s="35" t="s">
        <v>223</v>
      </c>
      <c r="D123" s="35" t="s">
        <v>224</v>
      </c>
      <c r="E123" s="35" t="s">
        <v>225</v>
      </c>
      <c r="F123" s="35">
        <v>211120865</v>
      </c>
      <c r="G123" s="37">
        <v>46211</v>
      </c>
      <c r="H123" s="33">
        <v>500</v>
      </c>
      <c r="I123" s="33" t="s">
        <v>39</v>
      </c>
    </row>
    <row r="124" spans="1:9">
      <c r="A124" s="33" t="s">
        <v>397</v>
      </c>
      <c r="B124" s="35">
        <v>812843</v>
      </c>
      <c r="C124" s="35" t="s">
        <v>223</v>
      </c>
      <c r="D124" s="35" t="s">
        <v>224</v>
      </c>
      <c r="E124" s="35" t="s">
        <v>225</v>
      </c>
      <c r="F124" s="35">
        <v>211120865</v>
      </c>
      <c r="G124" s="37">
        <v>46211</v>
      </c>
      <c r="H124" s="33">
        <v>500</v>
      </c>
      <c r="I124" s="33" t="s">
        <v>39</v>
      </c>
    </row>
    <row r="125" spans="1:9">
      <c r="A125" s="33" t="s">
        <v>398</v>
      </c>
      <c r="B125" s="35">
        <v>812844</v>
      </c>
      <c r="C125" s="35" t="s">
        <v>47</v>
      </c>
      <c r="D125" s="35" t="s">
        <v>48</v>
      </c>
      <c r="E125" s="35" t="s">
        <v>49</v>
      </c>
      <c r="F125" s="35">
        <v>211120714</v>
      </c>
      <c r="G125" s="37">
        <v>46204</v>
      </c>
      <c r="H125" s="33">
        <v>500</v>
      </c>
      <c r="I125" s="33" t="s">
        <v>39</v>
      </c>
    </row>
    <row r="126" spans="1:9">
      <c r="A126" s="33" t="s">
        <v>399</v>
      </c>
      <c r="B126" s="35">
        <v>812845</v>
      </c>
      <c r="C126" s="35" t="s">
        <v>41</v>
      </c>
      <c r="D126" s="35" t="s">
        <v>42</v>
      </c>
      <c r="E126" s="38" t="s">
        <v>43</v>
      </c>
      <c r="F126" s="35">
        <v>211120721</v>
      </c>
      <c r="G126" s="37">
        <v>46204</v>
      </c>
      <c r="H126" s="33">
        <v>500</v>
      </c>
      <c r="I126" s="33" t="s">
        <v>39</v>
      </c>
    </row>
    <row r="127" spans="1:9">
      <c r="A127" s="33" t="s">
        <v>220</v>
      </c>
      <c r="B127" s="35">
        <v>812846</v>
      </c>
      <c r="C127" s="35" t="s">
        <v>41</v>
      </c>
      <c r="D127" s="35" t="s">
        <v>42</v>
      </c>
      <c r="E127" s="38" t="s">
        <v>43</v>
      </c>
      <c r="F127" s="35">
        <v>211120662</v>
      </c>
      <c r="G127" s="37">
        <v>46203</v>
      </c>
      <c r="H127" s="33">
        <v>500</v>
      </c>
      <c r="I127" s="33" t="s">
        <v>39</v>
      </c>
    </row>
    <row r="128" spans="1:9">
      <c r="A128" s="33" t="s">
        <v>400</v>
      </c>
      <c r="B128" s="35">
        <v>812847</v>
      </c>
      <c r="C128" s="35" t="s">
        <v>47</v>
      </c>
      <c r="D128" s="35" t="s">
        <v>48</v>
      </c>
      <c r="E128" s="35" t="s">
        <v>49</v>
      </c>
      <c r="F128" s="35">
        <v>211120714</v>
      </c>
      <c r="G128" s="37">
        <v>46204</v>
      </c>
      <c r="H128" s="33">
        <v>500</v>
      </c>
      <c r="I128" s="33" t="s">
        <v>39</v>
      </c>
    </row>
    <row r="129" spans="1:9">
      <c r="A129" s="33" t="s">
        <v>401</v>
      </c>
      <c r="B129" s="35">
        <v>812848</v>
      </c>
      <c r="C129" s="35" t="s">
        <v>47</v>
      </c>
      <c r="D129" s="35" t="s">
        <v>48</v>
      </c>
      <c r="E129" s="35" t="s">
        <v>49</v>
      </c>
      <c r="F129" s="35">
        <v>211120714</v>
      </c>
      <c r="G129" s="37">
        <v>46204</v>
      </c>
      <c r="H129" s="33">
        <v>500</v>
      </c>
      <c r="I129" s="33" t="s">
        <v>39</v>
      </c>
    </row>
    <row r="130" spans="1:9">
      <c r="A130" s="33" t="s">
        <v>402</v>
      </c>
      <c r="B130" s="35">
        <v>812849</v>
      </c>
      <c r="C130" s="35" t="s">
        <v>41</v>
      </c>
      <c r="D130" s="35" t="s">
        <v>42</v>
      </c>
      <c r="E130" s="38" t="s">
        <v>43</v>
      </c>
      <c r="F130" s="35">
        <v>211120721</v>
      </c>
      <c r="G130" s="37">
        <v>46204</v>
      </c>
      <c r="H130" s="33">
        <v>500</v>
      </c>
      <c r="I130" s="33" t="s">
        <v>39</v>
      </c>
    </row>
    <row r="131" spans="1:9">
      <c r="A131" s="33" t="s">
        <v>57</v>
      </c>
      <c r="B131" s="30">
        <v>812850</v>
      </c>
      <c r="C131" s="35" t="s">
        <v>47</v>
      </c>
      <c r="D131" s="35" t="s">
        <v>48</v>
      </c>
      <c r="E131" s="35" t="s">
        <v>49</v>
      </c>
      <c r="F131" s="35">
        <v>211120714</v>
      </c>
      <c r="G131" s="37">
        <v>46204</v>
      </c>
      <c r="H131" s="33">
        <v>500</v>
      </c>
      <c r="I131" s="33" t="s">
        <v>39</v>
      </c>
    </row>
    <row r="132" spans="1:9">
      <c r="A132" s="33" t="s">
        <v>403</v>
      </c>
      <c r="B132" s="35">
        <v>812921</v>
      </c>
      <c r="C132" s="35" t="s">
        <v>123</v>
      </c>
      <c r="D132" s="35" t="s">
        <v>124</v>
      </c>
      <c r="E132" s="35" t="s">
        <v>125</v>
      </c>
      <c r="F132" s="35">
        <v>211121067</v>
      </c>
      <c r="G132" s="37">
        <v>46219</v>
      </c>
      <c r="H132" s="33">
        <v>1000</v>
      </c>
      <c r="I132" s="33" t="s">
        <v>39</v>
      </c>
    </row>
    <row r="133" spans="1:9">
      <c r="A133" s="33" t="s">
        <v>404</v>
      </c>
      <c r="B133" s="35">
        <v>812922</v>
      </c>
      <c r="C133" s="35" t="s">
        <v>54</v>
      </c>
      <c r="D133" s="35" t="s">
        <v>55</v>
      </c>
      <c r="E133" s="36" t="s">
        <v>56</v>
      </c>
      <c r="F133" s="35">
        <v>211120934</v>
      </c>
      <c r="G133" s="37">
        <v>46214</v>
      </c>
      <c r="H133" s="33">
        <v>1000</v>
      </c>
      <c r="I133" s="33" t="s">
        <v>39</v>
      </c>
    </row>
    <row r="134" spans="1:9">
      <c r="A134" s="33" t="s">
        <v>405</v>
      </c>
      <c r="B134" s="35">
        <v>812923</v>
      </c>
      <c r="C134" s="35" t="s">
        <v>54</v>
      </c>
      <c r="D134" s="35" t="s">
        <v>55</v>
      </c>
      <c r="E134" s="36" t="s">
        <v>56</v>
      </c>
      <c r="F134" s="35">
        <v>211120934</v>
      </c>
      <c r="G134" s="37">
        <v>46214</v>
      </c>
      <c r="H134" s="33">
        <v>1000</v>
      </c>
      <c r="I134" s="33" t="s">
        <v>39</v>
      </c>
    </row>
    <row r="135" spans="1:9">
      <c r="A135" s="33" t="s">
        <v>406</v>
      </c>
      <c r="B135" s="38">
        <v>812924</v>
      </c>
      <c r="C135" s="35" t="s">
        <v>41</v>
      </c>
      <c r="D135" s="35" t="s">
        <v>42</v>
      </c>
      <c r="E135" s="38" t="s">
        <v>43</v>
      </c>
      <c r="F135" s="35">
        <v>211120662</v>
      </c>
      <c r="G135" s="37">
        <v>46203</v>
      </c>
      <c r="H135" s="33">
        <v>2000</v>
      </c>
      <c r="I135" s="33" t="s">
        <v>39</v>
      </c>
    </row>
    <row r="136" spans="1:9">
      <c r="A136" s="33" t="s">
        <v>163</v>
      </c>
      <c r="B136" s="30">
        <v>812925</v>
      </c>
      <c r="C136" s="35" t="s">
        <v>123</v>
      </c>
      <c r="D136" s="35" t="s">
        <v>124</v>
      </c>
      <c r="E136" s="35" t="s">
        <v>125</v>
      </c>
      <c r="F136" s="35">
        <v>211121067</v>
      </c>
      <c r="G136" s="37">
        <v>46219</v>
      </c>
      <c r="H136" s="33">
        <v>1000</v>
      </c>
      <c r="I136" s="33" t="s">
        <v>39</v>
      </c>
    </row>
    <row r="137" spans="1:9">
      <c r="A137" s="33" t="s">
        <v>407</v>
      </c>
      <c r="B137" s="30">
        <v>812926</v>
      </c>
      <c r="C137" s="33" t="s">
        <v>112</v>
      </c>
      <c r="D137" s="33" t="s">
        <v>113</v>
      </c>
      <c r="E137" s="36" t="s">
        <v>114</v>
      </c>
      <c r="F137" s="33">
        <v>211121029</v>
      </c>
      <c r="G137" s="37">
        <v>46218</v>
      </c>
      <c r="H137" s="33">
        <v>1000</v>
      </c>
      <c r="I137" s="33" t="s">
        <v>39</v>
      </c>
    </row>
    <row r="138" spans="1:9">
      <c r="A138" s="33" t="s">
        <v>408</v>
      </c>
      <c r="B138" s="35">
        <v>812927</v>
      </c>
      <c r="C138" s="35" t="s">
        <v>41</v>
      </c>
      <c r="D138" s="35" t="s">
        <v>42</v>
      </c>
      <c r="E138" s="38" t="s">
        <v>43</v>
      </c>
      <c r="F138" s="35">
        <v>211120662</v>
      </c>
      <c r="G138" s="37">
        <v>46203</v>
      </c>
      <c r="H138" s="33">
        <v>5000</v>
      </c>
      <c r="I138" s="33" t="s">
        <v>39</v>
      </c>
    </row>
    <row r="139" spans="1:9">
      <c r="A139" s="33" t="s">
        <v>409</v>
      </c>
      <c r="B139" s="35">
        <v>812928</v>
      </c>
      <c r="C139" s="35" t="s">
        <v>123</v>
      </c>
      <c r="D139" s="35" t="s">
        <v>124</v>
      </c>
      <c r="E139" s="35" t="s">
        <v>125</v>
      </c>
      <c r="F139" s="35">
        <v>211121067</v>
      </c>
      <c r="G139" s="37">
        <v>46219</v>
      </c>
      <c r="H139" s="33">
        <v>1000</v>
      </c>
      <c r="I139" s="33" t="s">
        <v>39</v>
      </c>
    </row>
    <row r="140" spans="1:9">
      <c r="A140" s="33" t="s">
        <v>410</v>
      </c>
      <c r="B140" s="35">
        <v>812929</v>
      </c>
      <c r="C140" s="35" t="s">
        <v>41</v>
      </c>
      <c r="D140" s="35" t="s">
        <v>42</v>
      </c>
      <c r="E140" s="38" t="s">
        <v>43</v>
      </c>
      <c r="F140" s="35">
        <v>211120662</v>
      </c>
      <c r="G140" s="37">
        <v>46203</v>
      </c>
      <c r="H140" s="33">
        <v>3000</v>
      </c>
      <c r="I140" s="33" t="s">
        <v>39</v>
      </c>
    </row>
    <row r="141" spans="1:9">
      <c r="A141" s="33" t="s">
        <v>411</v>
      </c>
      <c r="B141" s="35">
        <v>812930</v>
      </c>
      <c r="C141" s="35" t="s">
        <v>54</v>
      </c>
      <c r="D141" s="35" t="s">
        <v>55</v>
      </c>
      <c r="E141" s="36" t="s">
        <v>56</v>
      </c>
      <c r="F141" s="35">
        <v>211120934</v>
      </c>
      <c r="G141" s="37">
        <v>46214</v>
      </c>
      <c r="H141" s="33">
        <v>1000</v>
      </c>
      <c r="I141" s="33" t="s">
        <v>39</v>
      </c>
    </row>
    <row r="142" spans="1:9">
      <c r="A142" s="33" t="s">
        <v>412</v>
      </c>
      <c r="B142" s="30">
        <v>814430</v>
      </c>
      <c r="C142" s="35" t="s">
        <v>123</v>
      </c>
      <c r="D142" s="35" t="s">
        <v>124</v>
      </c>
      <c r="E142" s="35" t="s">
        <v>125</v>
      </c>
      <c r="F142" s="35">
        <v>211121067</v>
      </c>
      <c r="G142" s="37">
        <v>46219</v>
      </c>
      <c r="H142" s="33">
        <v>500</v>
      </c>
      <c r="I142" s="33" t="s">
        <v>39</v>
      </c>
    </row>
    <row r="143" spans="1:9">
      <c r="A143" s="33" t="s">
        <v>413</v>
      </c>
      <c r="B143" s="30">
        <v>814431</v>
      </c>
      <c r="C143" s="35" t="s">
        <v>123</v>
      </c>
      <c r="D143" s="35" t="s">
        <v>124</v>
      </c>
      <c r="E143" s="35" t="s">
        <v>125</v>
      </c>
      <c r="F143" s="35">
        <v>211121067</v>
      </c>
      <c r="G143" s="37">
        <v>46219</v>
      </c>
      <c r="H143" s="33">
        <v>500</v>
      </c>
      <c r="I143" s="33" t="s">
        <v>39</v>
      </c>
    </row>
    <row r="144" spans="1:9">
      <c r="A144" s="33" t="s">
        <v>414</v>
      </c>
      <c r="B144" s="30">
        <v>814432</v>
      </c>
      <c r="C144" s="33" t="s">
        <v>60</v>
      </c>
      <c r="D144" s="33" t="s">
        <v>61</v>
      </c>
      <c r="E144" s="36" t="s">
        <v>62</v>
      </c>
      <c r="F144" s="33">
        <v>211121008</v>
      </c>
      <c r="G144" s="37">
        <v>46216</v>
      </c>
      <c r="H144" s="33">
        <v>500</v>
      </c>
      <c r="I144" s="33" t="s">
        <v>39</v>
      </c>
    </row>
    <row r="145" spans="1:9">
      <c r="A145" s="33" t="s">
        <v>415</v>
      </c>
      <c r="B145" s="30">
        <v>814433</v>
      </c>
      <c r="C145" s="33" t="s">
        <v>60</v>
      </c>
      <c r="D145" s="33" t="s">
        <v>61</v>
      </c>
      <c r="E145" s="36" t="s">
        <v>62</v>
      </c>
      <c r="F145" s="33">
        <v>211121030</v>
      </c>
      <c r="G145" s="37">
        <v>46217</v>
      </c>
      <c r="H145" s="33">
        <v>500</v>
      </c>
      <c r="I145" s="33" t="s">
        <v>39</v>
      </c>
    </row>
    <row r="146" spans="1:9">
      <c r="A146" s="33" t="s">
        <v>416</v>
      </c>
      <c r="B146" s="30">
        <v>814434</v>
      </c>
      <c r="C146" s="33" t="s">
        <v>60</v>
      </c>
      <c r="D146" s="33" t="s">
        <v>61</v>
      </c>
      <c r="E146" s="36" t="s">
        <v>62</v>
      </c>
      <c r="F146" s="33">
        <v>211121008</v>
      </c>
      <c r="G146" s="37">
        <v>46216</v>
      </c>
      <c r="H146" s="33">
        <v>500</v>
      </c>
      <c r="I146" s="33" t="s">
        <v>39</v>
      </c>
    </row>
    <row r="147" spans="1:9">
      <c r="A147" s="33" t="s">
        <v>417</v>
      </c>
      <c r="B147" s="30">
        <v>814435</v>
      </c>
      <c r="C147" s="35" t="s">
        <v>123</v>
      </c>
      <c r="D147" s="35" t="s">
        <v>124</v>
      </c>
      <c r="E147" s="35" t="s">
        <v>125</v>
      </c>
      <c r="F147" s="35">
        <v>211121067</v>
      </c>
      <c r="G147" s="37">
        <v>46219</v>
      </c>
      <c r="H147" s="33">
        <v>500</v>
      </c>
      <c r="I147" s="33" t="s">
        <v>39</v>
      </c>
    </row>
    <row r="148" spans="1:9">
      <c r="A148" s="33" t="s">
        <v>418</v>
      </c>
      <c r="B148" s="30">
        <v>814436</v>
      </c>
      <c r="C148" s="35" t="s">
        <v>123</v>
      </c>
      <c r="D148" s="35" t="s">
        <v>124</v>
      </c>
      <c r="E148" s="35" t="s">
        <v>125</v>
      </c>
      <c r="F148" s="35">
        <v>211121067</v>
      </c>
      <c r="G148" s="37">
        <v>46219</v>
      </c>
      <c r="H148" s="33">
        <v>500</v>
      </c>
      <c r="I148" s="33" t="s">
        <v>39</v>
      </c>
    </row>
    <row r="149" spans="1:9">
      <c r="A149" s="33" t="s">
        <v>419</v>
      </c>
      <c r="B149" s="30">
        <v>814437</v>
      </c>
      <c r="C149" s="33" t="s">
        <v>146</v>
      </c>
      <c r="D149" s="33" t="s">
        <v>147</v>
      </c>
      <c r="E149" s="33" t="s">
        <v>148</v>
      </c>
      <c r="F149" s="33">
        <v>211121149</v>
      </c>
      <c r="G149" s="37">
        <v>46221</v>
      </c>
      <c r="H149" s="33">
        <v>500</v>
      </c>
      <c r="I149" s="33" t="s">
        <v>39</v>
      </c>
    </row>
    <row r="150" spans="1:9">
      <c r="A150" s="33" t="s">
        <v>420</v>
      </c>
      <c r="B150" s="30">
        <v>814438</v>
      </c>
      <c r="C150" s="33" t="s">
        <v>146</v>
      </c>
      <c r="D150" s="33" t="s">
        <v>147</v>
      </c>
      <c r="E150" s="33" t="s">
        <v>148</v>
      </c>
      <c r="F150" s="33">
        <v>211121149</v>
      </c>
      <c r="G150" s="37">
        <v>46221</v>
      </c>
      <c r="H150" s="33">
        <v>500</v>
      </c>
      <c r="I150" s="33" t="s">
        <v>39</v>
      </c>
    </row>
    <row r="151" spans="1:9">
      <c r="A151" s="33" t="s">
        <v>421</v>
      </c>
      <c r="B151" s="30">
        <v>814439</v>
      </c>
      <c r="C151" s="33" t="s">
        <v>60</v>
      </c>
      <c r="D151" s="33" t="s">
        <v>61</v>
      </c>
      <c r="E151" s="36" t="s">
        <v>62</v>
      </c>
      <c r="F151" s="33">
        <v>211121008</v>
      </c>
      <c r="G151" s="37">
        <v>46216</v>
      </c>
      <c r="H151" s="33">
        <v>500</v>
      </c>
      <c r="I151" s="33" t="s">
        <v>39</v>
      </c>
    </row>
    <row r="152" spans="1:9">
      <c r="A152" s="33" t="s">
        <v>422</v>
      </c>
      <c r="B152" s="30">
        <v>814440</v>
      </c>
      <c r="C152" s="33" t="s">
        <v>245</v>
      </c>
      <c r="D152" s="33" t="s">
        <v>246</v>
      </c>
      <c r="E152" s="33" t="s">
        <v>247</v>
      </c>
      <c r="F152" s="33">
        <v>211121151</v>
      </c>
      <c r="G152" s="37">
        <v>46222</v>
      </c>
      <c r="H152" s="33">
        <v>500</v>
      </c>
      <c r="I152" s="33" t="s">
        <v>39</v>
      </c>
    </row>
    <row r="153" spans="1:9">
      <c r="A153" s="33" t="s">
        <v>423</v>
      </c>
      <c r="B153" s="30">
        <v>814441</v>
      </c>
      <c r="C153" s="33" t="s">
        <v>245</v>
      </c>
      <c r="D153" s="33" t="s">
        <v>246</v>
      </c>
      <c r="E153" s="33" t="s">
        <v>247</v>
      </c>
      <c r="F153" s="33">
        <v>211121151</v>
      </c>
      <c r="G153" s="37">
        <v>46222</v>
      </c>
      <c r="H153" s="33">
        <v>500</v>
      </c>
      <c r="I153" s="33" t="s">
        <v>39</v>
      </c>
    </row>
    <row r="154" spans="1:9">
      <c r="A154" s="33" t="s">
        <v>288</v>
      </c>
      <c r="B154" s="30">
        <v>814442</v>
      </c>
      <c r="C154" s="33" t="s">
        <v>245</v>
      </c>
      <c r="D154" s="33" t="s">
        <v>246</v>
      </c>
      <c r="E154" s="33" t="s">
        <v>247</v>
      </c>
      <c r="F154" s="33">
        <v>211121151</v>
      </c>
      <c r="G154" s="37">
        <v>46222</v>
      </c>
      <c r="H154" s="33">
        <v>500</v>
      </c>
      <c r="I154" s="33" t="s">
        <v>39</v>
      </c>
    </row>
    <row r="155" spans="1:9">
      <c r="A155" s="33" t="s">
        <v>424</v>
      </c>
      <c r="B155" s="30">
        <v>814443</v>
      </c>
      <c r="C155" s="33" t="s">
        <v>245</v>
      </c>
      <c r="D155" s="33" t="s">
        <v>246</v>
      </c>
      <c r="E155" s="33" t="s">
        <v>247</v>
      </c>
      <c r="F155" s="33">
        <v>211121151</v>
      </c>
      <c r="G155" s="37">
        <v>46222</v>
      </c>
      <c r="H155" s="33">
        <v>500</v>
      </c>
      <c r="I155" s="33" t="s">
        <v>39</v>
      </c>
    </row>
    <row r="156" spans="1:9">
      <c r="A156" s="33" t="s">
        <v>425</v>
      </c>
      <c r="B156" s="30">
        <v>814444</v>
      </c>
      <c r="H156" s="33">
        <v>500</v>
      </c>
      <c r="I156" s="33" t="s">
        <v>74</v>
      </c>
    </row>
    <row r="157" spans="1:9">
      <c r="A157" s="33" t="s">
        <v>426</v>
      </c>
      <c r="B157" s="30">
        <v>814445</v>
      </c>
      <c r="H157" s="33">
        <v>500</v>
      </c>
      <c r="I157" s="33" t="s">
        <v>74</v>
      </c>
    </row>
    <row r="158" spans="1:9">
      <c r="A158" s="33" t="s">
        <v>427</v>
      </c>
      <c r="B158" s="30">
        <v>814446</v>
      </c>
      <c r="H158" s="33">
        <v>500</v>
      </c>
      <c r="I158" s="33" t="s">
        <v>74</v>
      </c>
    </row>
    <row r="159" spans="1:9">
      <c r="A159" s="33" t="s">
        <v>428</v>
      </c>
      <c r="B159" s="30">
        <v>814447</v>
      </c>
      <c r="H159" s="33">
        <v>500</v>
      </c>
      <c r="I159" s="33" t="s">
        <v>74</v>
      </c>
    </row>
    <row r="160" spans="1:9">
      <c r="A160" s="33" t="s">
        <v>429</v>
      </c>
      <c r="B160" s="30">
        <v>814448</v>
      </c>
      <c r="H160" s="33">
        <v>500</v>
      </c>
      <c r="I160" s="33" t="s">
        <v>74</v>
      </c>
    </row>
    <row r="161" spans="1:9">
      <c r="A161" s="33" t="s">
        <v>430</v>
      </c>
      <c r="B161" s="30">
        <v>814449</v>
      </c>
      <c r="C161" s="33" t="s">
        <v>245</v>
      </c>
      <c r="D161" s="33" t="s">
        <v>246</v>
      </c>
      <c r="E161" s="33" t="s">
        <v>247</v>
      </c>
      <c r="F161" s="33">
        <v>211121151</v>
      </c>
      <c r="G161" s="37">
        <v>46222</v>
      </c>
      <c r="H161" s="33">
        <v>500</v>
      </c>
      <c r="I161" s="33" t="s">
        <v>39</v>
      </c>
    </row>
    <row r="162" spans="1:9">
      <c r="A162" s="33" t="s">
        <v>431</v>
      </c>
      <c r="B162" s="30">
        <v>814450</v>
      </c>
      <c r="C162" s="35" t="s">
        <v>123</v>
      </c>
      <c r="D162" s="35" t="s">
        <v>124</v>
      </c>
      <c r="E162" s="35" t="s">
        <v>125</v>
      </c>
      <c r="F162" s="35">
        <v>211121067</v>
      </c>
      <c r="G162" s="37">
        <v>46219</v>
      </c>
      <c r="H162" s="33">
        <v>500</v>
      </c>
      <c r="I162" s="33" t="s">
        <v>39</v>
      </c>
    </row>
    <row r="163" spans="1:9">
      <c r="A163" s="33" t="s">
        <v>432</v>
      </c>
      <c r="B163" s="30">
        <v>814451</v>
      </c>
      <c r="C163" s="35" t="s">
        <v>123</v>
      </c>
      <c r="D163" s="35" t="s">
        <v>124</v>
      </c>
      <c r="E163" s="35" t="s">
        <v>125</v>
      </c>
      <c r="F163" s="35">
        <v>211121067</v>
      </c>
      <c r="G163" s="37">
        <v>46219</v>
      </c>
      <c r="H163" s="33">
        <v>500</v>
      </c>
      <c r="I163" s="33" t="s">
        <v>39</v>
      </c>
    </row>
    <row r="164" spans="1:9">
      <c r="A164" s="33" t="s">
        <v>433</v>
      </c>
      <c r="B164" s="30">
        <v>814452</v>
      </c>
      <c r="C164" s="33" t="s">
        <v>245</v>
      </c>
      <c r="D164" s="33" t="s">
        <v>246</v>
      </c>
      <c r="E164" s="33" t="s">
        <v>247</v>
      </c>
      <c r="F164" s="33">
        <v>211121151</v>
      </c>
      <c r="G164" s="37">
        <v>46222</v>
      </c>
      <c r="H164" s="33">
        <v>500</v>
      </c>
      <c r="I164" s="33" t="s">
        <v>39</v>
      </c>
    </row>
    <row r="165" spans="1:9">
      <c r="A165" s="33" t="s">
        <v>434</v>
      </c>
      <c r="B165" s="30">
        <v>814453</v>
      </c>
      <c r="C165" s="33" t="s">
        <v>245</v>
      </c>
      <c r="D165" s="33" t="s">
        <v>246</v>
      </c>
      <c r="E165" s="33" t="s">
        <v>247</v>
      </c>
      <c r="F165" s="33">
        <v>211121151</v>
      </c>
      <c r="G165" s="37">
        <v>46222</v>
      </c>
      <c r="H165" s="33">
        <v>500</v>
      </c>
      <c r="I165" s="33" t="s">
        <v>39</v>
      </c>
    </row>
    <row r="166" spans="1:9">
      <c r="A166" s="33" t="s">
        <v>435</v>
      </c>
      <c r="B166" s="30">
        <v>814454</v>
      </c>
      <c r="C166" s="33" t="s">
        <v>245</v>
      </c>
      <c r="D166" s="33" t="s">
        <v>246</v>
      </c>
      <c r="E166" s="33" t="s">
        <v>247</v>
      </c>
      <c r="F166" s="33">
        <v>211121151</v>
      </c>
      <c r="G166" s="37">
        <v>46222</v>
      </c>
      <c r="H166" s="33">
        <v>500</v>
      </c>
      <c r="I166" s="33" t="s">
        <v>39</v>
      </c>
    </row>
    <row r="167" spans="1:9">
      <c r="A167" s="33" t="s">
        <v>436</v>
      </c>
      <c r="B167" s="30">
        <v>814455</v>
      </c>
      <c r="H167" s="33">
        <v>500</v>
      </c>
      <c r="I167" s="33" t="s">
        <v>74</v>
      </c>
    </row>
    <row r="168" spans="1:9">
      <c r="A168" s="33" t="s">
        <v>286</v>
      </c>
      <c r="B168" s="30">
        <v>814456</v>
      </c>
      <c r="H168" s="33">
        <v>500</v>
      </c>
      <c r="I168" s="33" t="s">
        <v>74</v>
      </c>
    </row>
    <row r="169" spans="1:9">
      <c r="A169" s="33" t="s">
        <v>437</v>
      </c>
      <c r="B169" s="30">
        <v>814457</v>
      </c>
      <c r="C169" s="33" t="s">
        <v>245</v>
      </c>
      <c r="D169" s="33" t="s">
        <v>246</v>
      </c>
      <c r="E169" s="33" t="s">
        <v>247</v>
      </c>
      <c r="F169" s="33">
        <v>211121151</v>
      </c>
      <c r="G169" s="37">
        <v>46222</v>
      </c>
      <c r="H169" s="33">
        <v>500</v>
      </c>
      <c r="I169" s="33" t="s">
        <v>39</v>
      </c>
    </row>
    <row r="170" spans="1:9">
      <c r="A170" s="33" t="s">
        <v>285</v>
      </c>
      <c r="B170" s="30">
        <v>814458</v>
      </c>
      <c r="H170" s="33">
        <v>500</v>
      </c>
      <c r="I170" s="33" t="s">
        <v>74</v>
      </c>
    </row>
    <row r="171" spans="1:9">
      <c r="A171" s="33" t="s">
        <v>438</v>
      </c>
      <c r="B171" s="30">
        <v>814459</v>
      </c>
      <c r="C171" s="33" t="s">
        <v>245</v>
      </c>
      <c r="D171" s="33" t="s">
        <v>246</v>
      </c>
      <c r="E171" s="33" t="s">
        <v>247</v>
      </c>
      <c r="F171" s="33">
        <v>211121151</v>
      </c>
      <c r="G171" s="37">
        <v>46222</v>
      </c>
      <c r="H171" s="33">
        <v>500</v>
      </c>
      <c r="I171" s="33" t="s">
        <v>39</v>
      </c>
    </row>
    <row r="172" spans="1:9">
      <c r="A172" s="33" t="s">
        <v>439</v>
      </c>
      <c r="B172" s="30">
        <v>814460</v>
      </c>
      <c r="C172" s="33" t="s">
        <v>60</v>
      </c>
      <c r="D172" s="33" t="s">
        <v>61</v>
      </c>
      <c r="E172" s="36" t="s">
        <v>62</v>
      </c>
      <c r="F172" s="33">
        <v>211121008</v>
      </c>
      <c r="G172" s="37">
        <v>46216</v>
      </c>
      <c r="H172" s="33">
        <v>500</v>
      </c>
      <c r="I172" s="33" t="s">
        <v>39</v>
      </c>
    </row>
    <row r="173" spans="1:9">
      <c r="A173" s="33" t="s">
        <v>440</v>
      </c>
      <c r="B173" s="30">
        <v>814461</v>
      </c>
      <c r="C173" s="33" t="s">
        <v>60</v>
      </c>
      <c r="D173" s="33" t="s">
        <v>61</v>
      </c>
      <c r="E173" s="36" t="s">
        <v>62</v>
      </c>
      <c r="F173" s="33">
        <v>211121030</v>
      </c>
      <c r="G173" s="37">
        <v>46217</v>
      </c>
      <c r="H173" s="33">
        <v>500</v>
      </c>
      <c r="I173" s="33" t="s">
        <v>39</v>
      </c>
    </row>
    <row r="174" spans="1:9">
      <c r="A174" s="33" t="s">
        <v>441</v>
      </c>
      <c r="B174" s="30">
        <v>814462</v>
      </c>
      <c r="C174" s="33" t="s">
        <v>60</v>
      </c>
      <c r="D174" s="33" t="s">
        <v>61</v>
      </c>
      <c r="E174" s="36" t="s">
        <v>62</v>
      </c>
      <c r="F174" s="33">
        <v>211121008</v>
      </c>
      <c r="G174" s="37">
        <v>46216</v>
      </c>
      <c r="H174" s="33">
        <v>500</v>
      </c>
      <c r="I174" s="33" t="s">
        <v>39</v>
      </c>
    </row>
    <row r="175" spans="1:9">
      <c r="A175" s="33" t="s">
        <v>167</v>
      </c>
      <c r="B175" s="30">
        <v>814463</v>
      </c>
      <c r="C175" s="35" t="s">
        <v>123</v>
      </c>
      <c r="D175" s="35" t="s">
        <v>124</v>
      </c>
      <c r="E175" s="35" t="s">
        <v>125</v>
      </c>
      <c r="F175" s="35">
        <v>211121067</v>
      </c>
      <c r="G175" s="37">
        <v>46219</v>
      </c>
      <c r="H175" s="33">
        <v>500</v>
      </c>
      <c r="I175" s="33" t="s">
        <v>39</v>
      </c>
    </row>
    <row r="176" spans="1:9">
      <c r="A176" s="33" t="s">
        <v>442</v>
      </c>
      <c r="B176" s="30">
        <v>814464</v>
      </c>
      <c r="C176" s="35" t="s">
        <v>123</v>
      </c>
      <c r="D176" s="35" t="s">
        <v>124</v>
      </c>
      <c r="E176" s="35" t="s">
        <v>125</v>
      </c>
      <c r="F176" s="35">
        <v>211121067</v>
      </c>
      <c r="G176" s="37">
        <v>46219</v>
      </c>
      <c r="H176" s="33">
        <v>500</v>
      </c>
      <c r="I176" s="33" t="s">
        <v>39</v>
      </c>
    </row>
    <row r="177" spans="1:9" ht="12.75" customHeight="1">
      <c r="A177" s="33" t="s">
        <v>443</v>
      </c>
      <c r="B177" s="30">
        <v>814465</v>
      </c>
      <c r="C177" s="33" t="s">
        <v>245</v>
      </c>
      <c r="D177" s="33" t="s">
        <v>246</v>
      </c>
      <c r="E177" s="33" t="s">
        <v>247</v>
      </c>
      <c r="F177" s="33">
        <v>211121151</v>
      </c>
      <c r="G177" s="37">
        <v>46222</v>
      </c>
      <c r="H177" s="33">
        <v>500</v>
      </c>
      <c r="I177" s="33" t="s">
        <v>39</v>
      </c>
    </row>
    <row r="178" spans="1:9" ht="14.25" customHeight="1">
      <c r="A178" s="33" t="s">
        <v>444</v>
      </c>
      <c r="B178" s="30">
        <v>814466</v>
      </c>
      <c r="H178" s="33">
        <v>500</v>
      </c>
      <c r="I178" s="33" t="s">
        <v>74</v>
      </c>
    </row>
    <row r="179" spans="1:9">
      <c r="A179" s="33" t="s">
        <v>284</v>
      </c>
      <c r="B179" s="30">
        <v>814467</v>
      </c>
      <c r="C179" s="33" t="s">
        <v>245</v>
      </c>
      <c r="D179" s="33" t="s">
        <v>246</v>
      </c>
      <c r="E179" s="33" t="s">
        <v>247</v>
      </c>
      <c r="F179" s="33">
        <v>211121151</v>
      </c>
      <c r="G179" s="37">
        <v>46222</v>
      </c>
      <c r="H179" s="33">
        <v>500</v>
      </c>
      <c r="I179" s="33" t="s">
        <v>39</v>
      </c>
    </row>
    <row r="180" spans="1:9">
      <c r="A180" s="33" t="s">
        <v>445</v>
      </c>
      <c r="B180" s="30">
        <v>814468</v>
      </c>
      <c r="H180" s="33">
        <v>500</v>
      </c>
      <c r="I180" s="33" t="s">
        <v>74</v>
      </c>
    </row>
    <row r="181" spans="1:9">
      <c r="A181" s="33" t="s">
        <v>446</v>
      </c>
      <c r="B181" s="30">
        <v>814469</v>
      </c>
      <c r="C181" s="33" t="s">
        <v>146</v>
      </c>
      <c r="D181" s="33" t="s">
        <v>147</v>
      </c>
      <c r="E181" s="33" t="s">
        <v>148</v>
      </c>
      <c r="F181" s="33">
        <v>211121149</v>
      </c>
      <c r="G181" s="37">
        <v>46221</v>
      </c>
      <c r="H181" s="33">
        <v>500</v>
      </c>
      <c r="I181" s="33" t="s">
        <v>39</v>
      </c>
    </row>
    <row r="182" spans="1:9">
      <c r="A182" s="33" t="s">
        <v>447</v>
      </c>
      <c r="B182" s="30">
        <v>814470</v>
      </c>
      <c r="C182" s="33" t="s">
        <v>60</v>
      </c>
      <c r="D182" s="33" t="s">
        <v>61</v>
      </c>
      <c r="E182" s="36" t="s">
        <v>62</v>
      </c>
      <c r="F182" s="33">
        <v>211121008</v>
      </c>
      <c r="G182" s="37">
        <v>46216</v>
      </c>
      <c r="H182" s="33">
        <v>500</v>
      </c>
      <c r="I182" s="33" t="s">
        <v>39</v>
      </c>
    </row>
    <row r="183" spans="1:9">
      <c r="A183" s="33" t="s">
        <v>448</v>
      </c>
      <c r="B183" s="30">
        <v>814471</v>
      </c>
      <c r="C183" s="33" t="s">
        <v>60</v>
      </c>
      <c r="D183" s="33" t="s">
        <v>61</v>
      </c>
      <c r="E183" s="36" t="s">
        <v>62</v>
      </c>
      <c r="F183" s="33">
        <v>211121008</v>
      </c>
      <c r="G183" s="37">
        <v>46216</v>
      </c>
      <c r="H183" s="33">
        <v>500</v>
      </c>
      <c r="I183" s="33" t="s">
        <v>39</v>
      </c>
    </row>
    <row r="184" spans="1:9">
      <c r="A184" s="33" t="s">
        <v>449</v>
      </c>
      <c r="B184" s="30">
        <v>814472</v>
      </c>
      <c r="C184" s="35" t="s">
        <v>123</v>
      </c>
      <c r="D184" s="35" t="s">
        <v>124</v>
      </c>
      <c r="E184" s="35" t="s">
        <v>125</v>
      </c>
      <c r="F184" s="35">
        <v>211121067</v>
      </c>
      <c r="G184" s="37">
        <v>46219</v>
      </c>
      <c r="H184" s="33">
        <v>500</v>
      </c>
      <c r="I184" s="33" t="s">
        <v>39</v>
      </c>
    </row>
    <row r="185" spans="1:9">
      <c r="A185" s="33" t="s">
        <v>69</v>
      </c>
      <c r="B185" s="30">
        <v>814473</v>
      </c>
      <c r="C185" s="33" t="s">
        <v>60</v>
      </c>
      <c r="D185" s="33" t="s">
        <v>61</v>
      </c>
      <c r="E185" s="36" t="s">
        <v>62</v>
      </c>
      <c r="F185" s="33">
        <v>211121008</v>
      </c>
      <c r="G185" s="37">
        <v>46216</v>
      </c>
      <c r="H185" s="33">
        <v>500</v>
      </c>
      <c r="I185" s="33" t="s">
        <v>39</v>
      </c>
    </row>
    <row r="186" spans="1:9">
      <c r="A186" s="33" t="s">
        <v>450</v>
      </c>
      <c r="B186" s="30">
        <v>814474</v>
      </c>
      <c r="C186" s="33" t="s">
        <v>60</v>
      </c>
      <c r="D186" s="33" t="s">
        <v>61</v>
      </c>
      <c r="E186" s="36" t="s">
        <v>62</v>
      </c>
      <c r="F186" s="33">
        <v>211121008</v>
      </c>
      <c r="G186" s="37">
        <v>46216</v>
      </c>
      <c r="H186" s="33">
        <v>500</v>
      </c>
      <c r="I186" s="33" t="s">
        <v>39</v>
      </c>
    </row>
    <row r="187" spans="1:9">
      <c r="A187" s="33" t="s">
        <v>451</v>
      </c>
      <c r="B187" s="30">
        <v>814475</v>
      </c>
      <c r="C187" s="33" t="s">
        <v>60</v>
      </c>
      <c r="D187" s="33" t="s">
        <v>61</v>
      </c>
      <c r="E187" s="36" t="s">
        <v>62</v>
      </c>
      <c r="F187" s="33">
        <v>211121008</v>
      </c>
      <c r="G187" s="37">
        <v>46216</v>
      </c>
      <c r="H187" s="33">
        <v>500</v>
      </c>
      <c r="I187" s="33" t="s">
        <v>39</v>
      </c>
    </row>
    <row r="188" spans="1:9">
      <c r="A188" s="33" t="s">
        <v>452</v>
      </c>
      <c r="B188" s="30">
        <v>814476</v>
      </c>
      <c r="C188" s="33" t="s">
        <v>146</v>
      </c>
      <c r="D188" s="33" t="s">
        <v>147</v>
      </c>
      <c r="E188" s="33" t="s">
        <v>148</v>
      </c>
      <c r="F188" s="33">
        <v>211121149</v>
      </c>
      <c r="G188" s="37">
        <v>46221</v>
      </c>
      <c r="H188" s="33">
        <v>500</v>
      </c>
      <c r="I188" s="33" t="s">
        <v>39</v>
      </c>
    </row>
    <row r="189" spans="1:9">
      <c r="A189" s="33" t="s">
        <v>453</v>
      </c>
      <c r="B189" s="30">
        <v>814477</v>
      </c>
      <c r="C189" s="35" t="s">
        <v>123</v>
      </c>
      <c r="D189" s="35" t="s">
        <v>124</v>
      </c>
      <c r="E189" s="35" t="s">
        <v>125</v>
      </c>
      <c r="F189" s="35">
        <v>211121067</v>
      </c>
      <c r="G189" s="37">
        <v>46219</v>
      </c>
      <c r="H189" s="33">
        <v>500</v>
      </c>
      <c r="I189" s="33" t="s">
        <v>39</v>
      </c>
    </row>
    <row r="190" spans="1:9">
      <c r="A190" s="33" t="s">
        <v>454</v>
      </c>
      <c r="B190" s="30">
        <v>814478</v>
      </c>
      <c r="C190" s="33" t="s">
        <v>146</v>
      </c>
      <c r="D190" s="33" t="s">
        <v>147</v>
      </c>
      <c r="E190" s="33" t="s">
        <v>148</v>
      </c>
      <c r="F190" s="33">
        <v>211121149</v>
      </c>
      <c r="G190" s="37">
        <v>46221</v>
      </c>
      <c r="H190" s="33">
        <v>500</v>
      </c>
      <c r="I190" s="33" t="s">
        <v>39</v>
      </c>
    </row>
    <row r="191" spans="1:9">
      <c r="A191" s="33" t="s">
        <v>455</v>
      </c>
      <c r="B191" s="30">
        <v>814479</v>
      </c>
      <c r="C191" s="33" t="s">
        <v>60</v>
      </c>
      <c r="D191" s="33" t="s">
        <v>61</v>
      </c>
      <c r="E191" s="36" t="s">
        <v>62</v>
      </c>
      <c r="F191" s="33">
        <v>211121008</v>
      </c>
      <c r="G191" s="37">
        <v>46216</v>
      </c>
      <c r="H191" s="33">
        <v>500</v>
      </c>
      <c r="I191" s="33" t="s">
        <v>39</v>
      </c>
    </row>
    <row r="192" spans="1:9">
      <c r="A192" s="33" t="s">
        <v>456</v>
      </c>
      <c r="B192" s="30">
        <v>814480</v>
      </c>
      <c r="C192" s="33" t="s">
        <v>60</v>
      </c>
      <c r="D192" s="33" t="s">
        <v>61</v>
      </c>
      <c r="E192" s="36" t="s">
        <v>62</v>
      </c>
      <c r="F192" s="33">
        <v>211121030</v>
      </c>
      <c r="G192" s="37">
        <v>46217</v>
      </c>
      <c r="H192" s="33">
        <v>500</v>
      </c>
      <c r="I192" s="33" t="s">
        <v>39</v>
      </c>
    </row>
    <row r="193" spans="1:9">
      <c r="A193" s="33" t="s">
        <v>457</v>
      </c>
      <c r="B193" s="30">
        <v>814481</v>
      </c>
      <c r="C193" s="33" t="s">
        <v>72</v>
      </c>
      <c r="D193" s="33" t="s">
        <v>55</v>
      </c>
      <c r="E193" s="36" t="s">
        <v>56</v>
      </c>
      <c r="F193" s="33">
        <v>211120994</v>
      </c>
      <c r="G193" s="37">
        <v>46216</v>
      </c>
      <c r="H193" s="33">
        <v>500</v>
      </c>
      <c r="I193" s="33" t="s">
        <v>39</v>
      </c>
    </row>
    <row r="194" spans="1:9">
      <c r="A194" s="33" t="s">
        <v>458</v>
      </c>
      <c r="B194" s="30">
        <v>814482</v>
      </c>
      <c r="C194" s="33" t="s">
        <v>60</v>
      </c>
      <c r="D194" s="33" t="s">
        <v>61</v>
      </c>
      <c r="E194" s="36" t="s">
        <v>62</v>
      </c>
      <c r="F194" s="33">
        <v>211121008</v>
      </c>
      <c r="G194" s="37">
        <v>46216</v>
      </c>
      <c r="H194" s="33">
        <v>500</v>
      </c>
      <c r="I194" s="33" t="s">
        <v>39</v>
      </c>
    </row>
    <row r="195" spans="1:9">
      <c r="A195" s="33" t="s">
        <v>459</v>
      </c>
      <c r="B195" s="30">
        <v>814483</v>
      </c>
      <c r="C195" s="33" t="s">
        <v>60</v>
      </c>
      <c r="D195" s="33" t="s">
        <v>61</v>
      </c>
      <c r="E195" s="36" t="s">
        <v>62</v>
      </c>
      <c r="F195" s="33">
        <v>211121030</v>
      </c>
      <c r="G195" s="37">
        <v>46217</v>
      </c>
      <c r="H195" s="33">
        <v>500</v>
      </c>
      <c r="I195" s="33" t="s">
        <v>39</v>
      </c>
    </row>
    <row r="196" spans="1:9">
      <c r="A196" s="33" t="s">
        <v>460</v>
      </c>
      <c r="B196" s="30">
        <v>814484</v>
      </c>
      <c r="C196" s="35" t="s">
        <v>123</v>
      </c>
      <c r="D196" s="35" t="s">
        <v>124</v>
      </c>
      <c r="E196" s="35" t="s">
        <v>125</v>
      </c>
      <c r="F196" s="35">
        <v>211121067</v>
      </c>
      <c r="G196" s="37">
        <v>46219</v>
      </c>
      <c r="H196" s="33">
        <v>500</v>
      </c>
      <c r="I196" s="33" t="s">
        <v>39</v>
      </c>
    </row>
    <row r="197" spans="1:9">
      <c r="A197" s="33" t="s">
        <v>461</v>
      </c>
      <c r="B197" s="30">
        <v>814485</v>
      </c>
      <c r="C197" s="35" t="s">
        <v>123</v>
      </c>
      <c r="D197" s="35" t="s">
        <v>124</v>
      </c>
      <c r="E197" s="35" t="s">
        <v>125</v>
      </c>
      <c r="F197" s="35">
        <v>211121067</v>
      </c>
      <c r="G197" s="37">
        <v>46219</v>
      </c>
      <c r="H197" s="33">
        <v>500</v>
      </c>
      <c r="I197" s="33" t="s">
        <v>39</v>
      </c>
    </row>
    <row r="198" spans="1:9">
      <c r="A198" s="33" t="s">
        <v>462</v>
      </c>
      <c r="B198" s="30">
        <v>814486</v>
      </c>
      <c r="C198" s="33" t="s">
        <v>72</v>
      </c>
      <c r="D198" s="33" t="s">
        <v>55</v>
      </c>
      <c r="E198" s="36" t="s">
        <v>56</v>
      </c>
      <c r="F198" s="33">
        <v>211120994</v>
      </c>
      <c r="G198" s="37">
        <v>46216</v>
      </c>
      <c r="H198" s="33">
        <v>500</v>
      </c>
      <c r="I198" s="33" t="s">
        <v>39</v>
      </c>
    </row>
    <row r="199" spans="1:9">
      <c r="A199" s="33" t="s">
        <v>463</v>
      </c>
      <c r="B199" s="30">
        <v>814487</v>
      </c>
      <c r="C199" s="33" t="s">
        <v>72</v>
      </c>
      <c r="D199" s="33" t="s">
        <v>55</v>
      </c>
      <c r="E199" s="36" t="s">
        <v>56</v>
      </c>
      <c r="F199" s="33">
        <v>211120994</v>
      </c>
      <c r="G199" s="37">
        <v>46216</v>
      </c>
      <c r="H199" s="33">
        <v>500</v>
      </c>
      <c r="I199" s="33" t="s">
        <v>39</v>
      </c>
    </row>
    <row r="200" spans="1:9">
      <c r="A200" s="33" t="s">
        <v>464</v>
      </c>
      <c r="B200" s="30">
        <v>814488</v>
      </c>
      <c r="C200" s="33" t="s">
        <v>72</v>
      </c>
      <c r="D200" s="33" t="s">
        <v>55</v>
      </c>
      <c r="E200" s="36" t="s">
        <v>56</v>
      </c>
      <c r="F200" s="33">
        <v>211120994</v>
      </c>
      <c r="G200" s="37">
        <v>46216</v>
      </c>
      <c r="H200" s="33">
        <v>500</v>
      </c>
      <c r="I200" s="33" t="s">
        <v>39</v>
      </c>
    </row>
    <row r="201" spans="1:9">
      <c r="A201" s="33" t="s">
        <v>465</v>
      </c>
      <c r="B201" s="30">
        <v>814493</v>
      </c>
      <c r="C201" s="35" t="s">
        <v>123</v>
      </c>
      <c r="D201" s="35" t="s">
        <v>124</v>
      </c>
      <c r="E201" s="35" t="s">
        <v>125</v>
      </c>
      <c r="F201" s="35">
        <v>211121067</v>
      </c>
      <c r="G201" s="37">
        <v>46219</v>
      </c>
      <c r="H201" s="33">
        <v>1000</v>
      </c>
      <c r="I201" s="33" t="s">
        <v>39</v>
      </c>
    </row>
    <row r="202" spans="1:9">
      <c r="A202" s="33" t="s">
        <v>466</v>
      </c>
      <c r="B202" s="30">
        <v>814494</v>
      </c>
      <c r="H202" s="33">
        <v>1000</v>
      </c>
      <c r="I202" s="33" t="s">
        <v>74</v>
      </c>
    </row>
    <row r="203" spans="1:9">
      <c r="A203" s="33" t="s">
        <v>467</v>
      </c>
      <c r="B203" s="30">
        <v>814495</v>
      </c>
      <c r="H203" s="33">
        <v>1000</v>
      </c>
      <c r="I203" s="33" t="s">
        <v>74</v>
      </c>
    </row>
    <row r="204" spans="1:9">
      <c r="A204" s="33" t="s">
        <v>468</v>
      </c>
      <c r="B204" s="30">
        <v>814609</v>
      </c>
      <c r="H204" s="33">
        <v>1000</v>
      </c>
      <c r="I204" s="33" t="s">
        <v>74</v>
      </c>
    </row>
    <row r="205" spans="1:9">
      <c r="A205" s="33" t="s">
        <v>469</v>
      </c>
      <c r="B205" s="30">
        <v>814640</v>
      </c>
      <c r="H205" s="33">
        <v>1000</v>
      </c>
      <c r="I205" s="33" t="s">
        <v>74</v>
      </c>
    </row>
    <row r="206" spans="1:9">
      <c r="A206" s="33" t="s">
        <v>470</v>
      </c>
      <c r="B206" s="30">
        <v>814641</v>
      </c>
      <c r="C206" s="33" t="s">
        <v>245</v>
      </c>
      <c r="D206" s="33" t="s">
        <v>246</v>
      </c>
      <c r="E206" s="33" t="s">
        <v>247</v>
      </c>
      <c r="F206" s="33">
        <v>211121151</v>
      </c>
      <c r="G206" s="37">
        <v>46222</v>
      </c>
      <c r="H206" s="33">
        <v>1000</v>
      </c>
      <c r="I206" s="33" t="s">
        <v>39</v>
      </c>
    </row>
    <row r="207" spans="1:9">
      <c r="A207" s="33" t="s">
        <v>471</v>
      </c>
      <c r="B207" s="30">
        <v>814642</v>
      </c>
      <c r="C207" s="33" t="s">
        <v>245</v>
      </c>
      <c r="D207" s="33" t="s">
        <v>246</v>
      </c>
      <c r="E207" s="33" t="s">
        <v>247</v>
      </c>
      <c r="F207" s="33">
        <v>211121151</v>
      </c>
      <c r="G207" s="37">
        <v>46222</v>
      </c>
      <c r="H207" s="33">
        <v>1000</v>
      </c>
      <c r="I207" s="33" t="s">
        <v>39</v>
      </c>
    </row>
    <row r="208" spans="1:9">
      <c r="A208" s="33" t="s">
        <v>254</v>
      </c>
      <c r="B208" s="30">
        <v>814643</v>
      </c>
      <c r="H208" s="33">
        <v>1000</v>
      </c>
      <c r="I208" s="33" t="s">
        <v>74</v>
      </c>
    </row>
    <row r="209" spans="1:9">
      <c r="A209" s="33" t="s">
        <v>472</v>
      </c>
      <c r="B209" s="30">
        <v>814644</v>
      </c>
      <c r="H209" s="33">
        <v>1000</v>
      </c>
      <c r="I209" s="33" t="s">
        <v>74</v>
      </c>
    </row>
    <row r="210" spans="1:9">
      <c r="A210" s="33" t="s">
        <v>473</v>
      </c>
      <c r="B210" s="30">
        <v>814645</v>
      </c>
      <c r="H210" s="33">
        <v>1000</v>
      </c>
      <c r="I210" s="33" t="s">
        <v>74</v>
      </c>
    </row>
  </sheetData>
  <dataValidations count="1">
    <dataValidation type="list" allowBlank="1" showInputMessage="1" showErrorMessage="1" sqref="H211:H1048576 I1:I210" xr:uid="{2CEFE86E-882A-40C4-A0F7-484C7D1C3ABB}">
      <formula1>$T$6:$T$8</formula1>
    </dataValidation>
  </dataValidations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4407497-b3c0-4604-b20b-74f55ac2454d">
      <Terms xmlns="http://schemas.microsoft.com/office/infopath/2007/PartnerControls"/>
    </lcf76f155ced4ddcb4097134ff3c332f>
    <TaxCatchAll xmlns="458355cd-2e48-4d4e-bb8a-09df581d9f0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6F2924C615E8C42A7E45813C1683196" ma:contentTypeVersion="22" ma:contentTypeDescription="Create a new document." ma:contentTypeScope="" ma:versionID="d4ed332ba6f411c61502ea2efd39a5ce">
  <xsd:schema xmlns:xsd="http://www.w3.org/2001/XMLSchema" xmlns:xs="http://www.w3.org/2001/XMLSchema" xmlns:p="http://schemas.microsoft.com/office/2006/metadata/properties" xmlns:ns2="458355cd-2e48-4d4e-bb8a-09df581d9f04" xmlns:ns3="e4407497-b3c0-4604-b20b-74f55ac2454d" targetNamespace="http://schemas.microsoft.com/office/2006/metadata/properties" ma:root="true" ma:fieldsID="36b0be4e9f9d7097852051c09fb68972" ns2:_="" ns3:_="">
    <xsd:import namespace="458355cd-2e48-4d4e-bb8a-09df581d9f04"/>
    <xsd:import namespace="e4407497-b3c0-4604-b20b-74f55ac2454d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3:MediaServiceOCR" minOccurs="0"/>
                <xsd:element ref="ns3:MediaServiceDateTaken" minOccurs="0"/>
                <xsd:element ref="ns3:MediaServiceObjectDetectorVersions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Location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58355cd-2e48-4d4e-bb8a-09df581d9f04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76e92894-75b0-45c1-be50-6d808513d957}" ma:internalName="TaxCatchAll" ma:showField="CatchAllData" ma:web="458355cd-2e48-4d4e-bb8a-09df581d9f0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407497-b3c0-4604-b20b-74f55ac2454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b5706904-bd68-4ba9-81fe-66a5b4b7a6e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4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4BA7ED57-B256-43B3-AF88-B0228B79D7DB}">
  <ds:schemaRefs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http://schemas.microsoft.com/office/2006/metadata/properties"/>
    <ds:schemaRef ds:uri="http://schemas.openxmlformats.org/package/2006/metadata/core-properties"/>
    <ds:schemaRef ds:uri="e4407497-b3c0-4604-b20b-74f55ac2454d"/>
    <ds:schemaRef ds:uri="458355cd-2e48-4d4e-bb8a-09df581d9f04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1A031CB7-6811-4F6D-90B0-2D991FCFE9C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58355cd-2e48-4d4e-bb8a-09df581d9f04"/>
    <ds:schemaRef ds:uri="e4407497-b3c0-4604-b20b-74f55ac2454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6BBD4FB-3B9F-48C6-8547-95834EFE1527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EDC916B7-3E49-4BDB-9655-9CC107DE692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 Calculator</vt:lpstr>
      <vt:lpstr>Orders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Chris Boyd</cp:lastModifiedBy>
  <cp:revision/>
  <dcterms:created xsi:type="dcterms:W3CDTF">2026-07-10T16:59:35Z</dcterms:created>
  <dcterms:modified xsi:type="dcterms:W3CDTF">2026-07-20T15:31:50Z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0x010100A6F2924C615E8C42A7E45813C1683196</vt:lpwstr>
  </property>
  <property fmtid="{D5CDD505-2E9C-101B-9397-08002B2CF9AE}" pid="3" name="MediaServiceImageTags">
    <vt:lpwstr/>
  </property>
</Properties>
</file>