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licerCaches/slicerCache1.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drawings/drawing1.xml" ContentType="application/vnd.openxmlformats-officedocument.drawing+xml"/>
  <Override PartName="/xl/tables/table3.xml" ContentType="application/vnd.openxmlformats-officedocument.spreadsheetml.table+xml"/>
  <Override PartName="/xl/slicers/slicer1.xml" ContentType="application/vnd.ms-excel.slicer+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smartsourcerentals.sharepoint.com/sites/SolutionsPortal/Shared Documents/Starlink Billing/"/>
    </mc:Choice>
  </mc:AlternateContent>
  <xr:revisionPtr revIDLastSave="2087" documentId="13_ncr:1_{DEAFCDAC-1B04-4323-AF14-C4A080D74A50}" xr6:coauthVersionLast="47" xr6:coauthVersionMax="47" xr10:uidLastSave="{E3B4ABE0-CD39-4A09-BC2B-BF7569A899C8}"/>
  <bookViews>
    <workbookView xWindow="-120" yWindow="-120" windowWidth="38640" windowHeight="21120" activeTab="1" xr2:uid="{00000000-000D-0000-FFFF-FFFF00000000}"/>
  </bookViews>
  <sheets>
    <sheet name="Data Calculator" sheetId="5" r:id="rId1"/>
    <sheet name="Orders" sheetId="3" r:id="rId2"/>
  </sheets>
  <definedNames>
    <definedName name="ExternalData_1" localSheetId="0" hidden="1">'Data Calculator'!$A$9:$Q$378</definedName>
    <definedName name="ExternalData_2" localSheetId="0" hidden="1">'Data Calculator'!$Z$1:$AA$2</definedName>
    <definedName name="Slicer_Client">#N/A</definedName>
  </definedNames>
  <calcPr calcId="191028"/>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3"/>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37" i="5" l="1"/>
  <c r="R68" i="5"/>
  <c r="R284" i="5"/>
  <c r="R281" i="5"/>
  <c r="R285" i="5"/>
  <c r="R60" i="5"/>
  <c r="R286" i="5"/>
  <c r="R54" i="5"/>
  <c r="R38" i="5"/>
  <c r="R66" i="5"/>
  <c r="R287" i="5"/>
  <c r="R187" i="5"/>
  <c r="R121" i="5"/>
  <c r="R96" i="5"/>
  <c r="R288" i="5"/>
  <c r="R106" i="5"/>
  <c r="R88" i="5"/>
  <c r="R129" i="5"/>
  <c r="R289" i="5"/>
  <c r="R65" i="5"/>
  <c r="R119" i="5"/>
  <c r="R58" i="5"/>
  <c r="R290" i="5"/>
  <c r="R30" i="5"/>
  <c r="R291" i="5"/>
  <c r="R53" i="5"/>
  <c r="R292" i="5"/>
  <c r="R41" i="5"/>
  <c r="R293" i="5"/>
  <c r="R39" i="5"/>
  <c r="R294" i="5"/>
  <c r="R117" i="5"/>
  <c r="R295" i="5"/>
  <c r="R83" i="5"/>
  <c r="R296" i="5"/>
  <c r="R143" i="5"/>
  <c r="R63" i="5"/>
  <c r="R214" i="5"/>
  <c r="R297" i="5"/>
  <c r="R118" i="5"/>
  <c r="R174" i="5"/>
  <c r="R72" i="5"/>
  <c r="R126" i="5"/>
  <c r="R202" i="5"/>
  <c r="R155" i="5"/>
  <c r="R164" i="5"/>
  <c r="R298" i="5"/>
  <c r="R78" i="5"/>
  <c r="R190" i="5"/>
  <c r="R133" i="5"/>
  <c r="R101" i="5"/>
  <c r="R299" i="5"/>
  <c r="R46" i="5"/>
  <c r="R201" i="5"/>
  <c r="R206" i="5"/>
  <c r="R300" i="5"/>
  <c r="R171" i="5"/>
  <c r="R35" i="5"/>
  <c r="R162" i="5"/>
  <c r="R301" i="5"/>
  <c r="R302" i="5"/>
  <c r="R79" i="5"/>
  <c r="R92" i="5"/>
  <c r="R212" i="5"/>
  <c r="R303" i="5"/>
  <c r="R245" i="5"/>
  <c r="R304" i="5"/>
  <c r="R244" i="5"/>
  <c r="R305" i="5"/>
  <c r="R237" i="5"/>
  <c r="R306" i="5"/>
  <c r="R211" i="5"/>
  <c r="R307" i="5"/>
  <c r="R264" i="5"/>
  <c r="R308" i="5"/>
  <c r="R221" i="5"/>
  <c r="R67" i="5"/>
  <c r="R222" i="5"/>
  <c r="R100" i="5"/>
  <c r="R223" i="5"/>
  <c r="R309" i="5"/>
  <c r="R224" i="5"/>
  <c r="R49" i="5"/>
  <c r="R246" i="5"/>
  <c r="R310" i="5"/>
  <c r="R225" i="5"/>
  <c r="R85" i="5"/>
  <c r="R278" i="5"/>
  <c r="R40" i="5"/>
  <c r="R226" i="5"/>
  <c r="R77" i="5"/>
  <c r="R238" i="5"/>
  <c r="R311" i="5"/>
  <c r="R265" i="5"/>
  <c r="R312" i="5"/>
  <c r="R247" i="5"/>
  <c r="R248" i="5"/>
  <c r="R313" i="5"/>
  <c r="R249" i="5"/>
  <c r="R314" i="5"/>
  <c r="R239" i="5"/>
  <c r="R166" i="5"/>
  <c r="R250" i="5"/>
  <c r="R170" i="5"/>
  <c r="R279" i="5"/>
  <c r="R315" i="5"/>
  <c r="R215" i="5"/>
  <c r="R316" i="5"/>
  <c r="R227" i="5"/>
  <c r="R317" i="5"/>
  <c r="R228" i="5"/>
  <c r="R318" i="5"/>
  <c r="R251" i="5"/>
  <c r="R319" i="5"/>
  <c r="R252" i="5"/>
  <c r="R169" i="5"/>
  <c r="R229" i="5"/>
  <c r="R320" i="5"/>
  <c r="R253" i="5"/>
  <c r="R321" i="5"/>
  <c r="R254" i="5"/>
  <c r="R141" i="5"/>
  <c r="R255" i="5"/>
  <c r="R322" i="5"/>
  <c r="R256" i="5"/>
  <c r="R110" i="5"/>
  <c r="R240" i="5"/>
  <c r="R323" i="5"/>
  <c r="R257" i="5"/>
  <c r="R31" i="5"/>
  <c r="R205" i="5"/>
  <c r="R324" i="5"/>
  <c r="R280" i="5"/>
  <c r="R36" i="5"/>
  <c r="R266" i="5"/>
  <c r="R325" i="5"/>
  <c r="R241" i="5"/>
  <c r="R33" i="5"/>
  <c r="R258" i="5"/>
  <c r="R326" i="5"/>
  <c r="R230" i="5"/>
  <c r="R44" i="5"/>
  <c r="R267" i="5"/>
  <c r="R327" i="5"/>
  <c r="R216" i="5"/>
  <c r="R93" i="5"/>
  <c r="R217" i="5"/>
  <c r="R328" i="5"/>
  <c r="R259" i="5"/>
  <c r="R138" i="5"/>
  <c r="R231" i="5"/>
  <c r="R329" i="5"/>
  <c r="R268" i="5"/>
  <c r="R82" i="5"/>
  <c r="R232" i="5"/>
  <c r="R330" i="5"/>
  <c r="R260" i="5"/>
  <c r="R125" i="5"/>
  <c r="R282" i="5"/>
  <c r="R331" i="5"/>
  <c r="R269" i="5"/>
  <c r="R332" i="5"/>
  <c r="R270" i="5"/>
  <c r="R71" i="5"/>
  <c r="R333" i="5"/>
  <c r="R334" i="5"/>
  <c r="R81" i="5"/>
  <c r="R335" i="5"/>
  <c r="R114" i="5"/>
  <c r="R336" i="5"/>
  <c r="R43" i="5"/>
  <c r="R337" i="5"/>
  <c r="R338" i="5"/>
  <c r="R339" i="5"/>
  <c r="R156" i="5"/>
  <c r="R340" i="5"/>
  <c r="R341" i="5"/>
  <c r="R342" i="5"/>
  <c r="R343" i="5"/>
  <c r="R344" i="5"/>
  <c r="R179" i="5"/>
  <c r="R345" i="5"/>
  <c r="R346" i="5"/>
  <c r="R347" i="5"/>
  <c r="R62" i="5"/>
  <c r="R348" i="5"/>
  <c r="R349" i="5"/>
  <c r="R89" i="5"/>
  <c r="R350" i="5"/>
  <c r="R351" i="5"/>
  <c r="R352" i="5"/>
  <c r="R353" i="5"/>
  <c r="R283" i="5"/>
  <c r="R354" i="5"/>
  <c r="R47" i="5"/>
  <c r="R355" i="5"/>
  <c r="R356" i="5"/>
  <c r="R357" i="5"/>
  <c r="R61" i="5"/>
  <c r="R358" i="5"/>
  <c r="R32" i="5"/>
  <c r="R359" i="5"/>
  <c r="R98" i="5"/>
  <c r="R360" i="5"/>
  <c r="R185" i="5"/>
  <c r="R361" i="5"/>
  <c r="R45" i="5"/>
  <c r="R362" i="5"/>
  <c r="R175" i="5"/>
  <c r="R363" i="5"/>
  <c r="R57" i="5"/>
  <c r="R364" i="5"/>
  <c r="R113" i="5"/>
  <c r="R365" i="5"/>
  <c r="R189" i="5"/>
  <c r="R366" i="5"/>
  <c r="R107" i="5"/>
  <c r="R367" i="5"/>
  <c r="R165" i="5"/>
  <c r="R368" i="5"/>
  <c r="R148" i="5"/>
  <c r="R369" i="5"/>
  <c r="R370" i="5"/>
  <c r="R84" i="5"/>
  <c r="R86" i="5"/>
  <c r="R102" i="5"/>
  <c r="R150" i="5"/>
  <c r="R91" i="5"/>
  <c r="R192" i="5"/>
  <c r="R59" i="5"/>
  <c r="R220" i="5"/>
  <c r="R109" i="5"/>
  <c r="R123" i="5"/>
  <c r="R184" i="5"/>
  <c r="R195" i="5"/>
  <c r="R144" i="5"/>
  <c r="R111" i="5"/>
  <c r="R48" i="5"/>
  <c r="R146" i="5"/>
  <c r="R178" i="5"/>
  <c r="R177" i="5"/>
  <c r="R34" i="5"/>
  <c r="R94" i="5"/>
  <c r="R176" i="5"/>
  <c r="R142" i="5"/>
  <c r="R158" i="5"/>
  <c r="R182" i="5"/>
  <c r="R95" i="5"/>
  <c r="R52" i="5"/>
  <c r="R42" i="5"/>
  <c r="R188" i="5"/>
  <c r="R160" i="5"/>
  <c r="R196" i="5"/>
  <c r="R154" i="5"/>
  <c r="R75" i="5"/>
  <c r="R134" i="5"/>
  <c r="R163" i="5"/>
  <c r="R181" i="5"/>
  <c r="R145" i="5"/>
  <c r="R137" i="5"/>
  <c r="R193" i="5"/>
  <c r="R199" i="5"/>
  <c r="R64" i="5"/>
  <c r="R198" i="5"/>
  <c r="R161" i="5"/>
  <c r="R131" i="5"/>
  <c r="R130" i="5"/>
  <c r="R159" i="5"/>
  <c r="R371" i="5"/>
  <c r="R56" i="5"/>
  <c r="R157" i="5"/>
  <c r="R97" i="5"/>
  <c r="R242" i="5"/>
  <c r="R112" i="5"/>
  <c r="R120" i="5"/>
  <c r="R194" i="5"/>
  <c r="R50" i="5"/>
  <c r="R105" i="5"/>
  <c r="R147" i="5"/>
  <c r="R99" i="5"/>
  <c r="R10" i="5"/>
  <c r="R200" i="5"/>
  <c r="R151" i="5"/>
  <c r="R122" i="5"/>
  <c r="R11" i="5"/>
  <c r="R87" i="5"/>
  <c r="R12" i="5"/>
  <c r="R209" i="5"/>
  <c r="R197" i="5"/>
  <c r="R13" i="5"/>
  <c r="R172" i="5"/>
  <c r="R90" i="5"/>
  <c r="R14" i="5"/>
  <c r="R15" i="5"/>
  <c r="R149" i="5"/>
  <c r="R139" i="5"/>
  <c r="R76" i="5"/>
  <c r="R372" i="5"/>
  <c r="R373" i="5"/>
  <c r="R70" i="5"/>
  <c r="R135" i="5"/>
  <c r="R127" i="5"/>
  <c r="R153" i="5"/>
  <c r="R186" i="5"/>
  <c r="R173" i="5"/>
  <c r="R104" i="5"/>
  <c r="R374" i="5"/>
  <c r="R375" i="5"/>
  <c r="R103" i="5"/>
  <c r="R108" i="5"/>
  <c r="R183" i="5"/>
  <c r="R128" i="5"/>
  <c r="R152" i="5"/>
  <c r="R132" i="5"/>
  <c r="R74" i="5"/>
  <c r="R376" i="5"/>
  <c r="R191" i="5"/>
  <c r="R116" i="5"/>
  <c r="R80" i="5"/>
  <c r="R167" i="5"/>
  <c r="R377" i="5"/>
  <c r="R180" i="5"/>
  <c r="R378" i="5"/>
  <c r="R73" i="5"/>
  <c r="R124" i="5"/>
  <c r="R115" i="5"/>
  <c r="R55" i="5"/>
  <c r="R51" i="5"/>
  <c r="R140" i="5"/>
  <c r="R69" i="5"/>
  <c r="R168" i="5"/>
  <c r="R136" i="5"/>
  <c r="R16" i="5"/>
  <c r="R17" i="5"/>
  <c r="R18" i="5"/>
  <c r="R19" i="5"/>
  <c r="R20" i="5"/>
  <c r="R271" i="5"/>
  <c r="R210" i="5"/>
  <c r="R21" i="5"/>
  <c r="R22" i="5"/>
  <c r="R23" i="5"/>
  <c r="R207" i="5"/>
  <c r="R24" i="5"/>
  <c r="R25" i="5"/>
  <c r="R26" i="5"/>
  <c r="R27" i="5"/>
  <c r="R261" i="5"/>
  <c r="R28" i="5"/>
  <c r="R29" i="5"/>
  <c r="R233" i="5"/>
  <c r="R218" i="5"/>
  <c r="R234" i="5"/>
  <c r="R204" i="5"/>
  <c r="R262" i="5"/>
  <c r="R235" i="5"/>
  <c r="R272" i="5"/>
  <c r="R203" i="5"/>
  <c r="R208" i="5"/>
  <c r="R273" i="5"/>
  <c r="R263" i="5"/>
  <c r="R219" i="5"/>
  <c r="R236" i="5"/>
  <c r="R274" i="5"/>
  <c r="R213" i="5"/>
  <c r="R275" i="5"/>
  <c r="R243" i="5"/>
  <c r="R276" i="5"/>
  <c r="R277" i="5"/>
  <c r="S37" i="5"/>
  <c r="S68" i="5"/>
  <c r="S284" i="5"/>
  <c r="S281" i="5"/>
  <c r="S285" i="5"/>
  <c r="S60" i="5"/>
  <c r="S286" i="5"/>
  <c r="T286" i="5" s="1"/>
  <c r="S54" i="5"/>
  <c r="T54" i="5" s="1"/>
  <c r="S38" i="5"/>
  <c r="T38" i="5" s="1"/>
  <c r="S66" i="5"/>
  <c r="T66" i="5" s="1"/>
  <c r="S287" i="5"/>
  <c r="T287" i="5" s="1"/>
  <c r="S187" i="5"/>
  <c r="T187" i="5" s="1"/>
  <c r="S121" i="5"/>
  <c r="T121" i="5" s="1"/>
  <c r="S96" i="5"/>
  <c r="T96" i="5" s="1"/>
  <c r="S288" i="5"/>
  <c r="T288" i="5" s="1"/>
  <c r="S106" i="5"/>
  <c r="T106" i="5" s="1"/>
  <c r="S88" i="5"/>
  <c r="T88" i="5" s="1"/>
  <c r="S129" i="5"/>
  <c r="T129" i="5" s="1"/>
  <c r="S289" i="5"/>
  <c r="T289" i="5" s="1"/>
  <c r="S65" i="5"/>
  <c r="T65" i="5" s="1"/>
  <c r="S119" i="5"/>
  <c r="T119" i="5" s="1"/>
  <c r="S58" i="5"/>
  <c r="T58" i="5" s="1"/>
  <c r="S290" i="5"/>
  <c r="T290" i="5" s="1"/>
  <c r="S30" i="5"/>
  <c r="T30" i="5" s="1"/>
  <c r="S291" i="5"/>
  <c r="T291" i="5" s="1"/>
  <c r="S53" i="5"/>
  <c r="T53" i="5" s="1"/>
  <c r="S292" i="5"/>
  <c r="T292" i="5" s="1"/>
  <c r="S41" i="5"/>
  <c r="T41" i="5" s="1"/>
  <c r="S293" i="5"/>
  <c r="T293" i="5" s="1"/>
  <c r="S39" i="5"/>
  <c r="T39" i="5" s="1"/>
  <c r="S294" i="5"/>
  <c r="T294" i="5" s="1"/>
  <c r="S117" i="5"/>
  <c r="T117" i="5" s="1"/>
  <c r="S295" i="5"/>
  <c r="T295" i="5" s="1"/>
  <c r="S83" i="5"/>
  <c r="T83" i="5" s="1"/>
  <c r="S296" i="5"/>
  <c r="T296" i="5" s="1"/>
  <c r="S143" i="5"/>
  <c r="T143" i="5" s="1"/>
  <c r="S63" i="5"/>
  <c r="T63" i="5" s="1"/>
  <c r="S214" i="5"/>
  <c r="T214" i="5" s="1"/>
  <c r="S297" i="5"/>
  <c r="T297" i="5" s="1"/>
  <c r="S118" i="5"/>
  <c r="T118" i="5" s="1"/>
  <c r="S174" i="5"/>
  <c r="T174" i="5" s="1"/>
  <c r="S72" i="5"/>
  <c r="T72" i="5" s="1"/>
  <c r="S126" i="5"/>
  <c r="T126" i="5" s="1"/>
  <c r="S202" i="5"/>
  <c r="S155" i="5"/>
  <c r="T155" i="5" s="1"/>
  <c r="S164" i="5"/>
  <c r="T164" i="5" s="1"/>
  <c r="S298" i="5"/>
  <c r="T298" i="5" s="1"/>
  <c r="S78" i="5"/>
  <c r="T78" i="5" s="1"/>
  <c r="S190" i="5"/>
  <c r="T190" i="5" s="1"/>
  <c r="S133" i="5"/>
  <c r="T133" i="5" s="1"/>
  <c r="S101" i="5"/>
  <c r="T101" i="5" s="1"/>
  <c r="S299" i="5"/>
  <c r="S46" i="5"/>
  <c r="S201" i="5"/>
  <c r="V201" i="5" s="1"/>
  <c r="S206" i="5"/>
  <c r="T206" i="5" s="1"/>
  <c r="S300" i="5"/>
  <c r="T300" i="5" s="1"/>
  <c r="S171" i="5"/>
  <c r="T171" i="5" s="1"/>
  <c r="S35" i="5"/>
  <c r="T35" i="5" s="1"/>
  <c r="S162" i="5"/>
  <c r="T162" i="5" s="1"/>
  <c r="S301" i="5"/>
  <c r="T301" i="5" s="1"/>
  <c r="S302" i="5"/>
  <c r="T302" i="5" s="1"/>
  <c r="S79" i="5"/>
  <c r="T79" i="5" s="1"/>
  <c r="S92" i="5"/>
  <c r="T92" i="5" s="1"/>
  <c r="S212" i="5"/>
  <c r="T212" i="5" s="1"/>
  <c r="S303" i="5"/>
  <c r="T303" i="5" s="1"/>
  <c r="S245" i="5"/>
  <c r="T245" i="5" s="1"/>
  <c r="S304" i="5"/>
  <c r="T304" i="5" s="1"/>
  <c r="S244" i="5"/>
  <c r="T244" i="5" s="1"/>
  <c r="S305" i="5"/>
  <c r="S237" i="5"/>
  <c r="T237" i="5" s="1"/>
  <c r="S306" i="5"/>
  <c r="T306" i="5" s="1"/>
  <c r="S211" i="5"/>
  <c r="T211" i="5" s="1"/>
  <c r="S307" i="5"/>
  <c r="T307" i="5" s="1"/>
  <c r="S264" i="5"/>
  <c r="T264" i="5" s="1"/>
  <c r="S308" i="5"/>
  <c r="T308" i="5" s="1"/>
  <c r="S221" i="5"/>
  <c r="S67" i="5"/>
  <c r="S222" i="5"/>
  <c r="V222" i="5" s="1"/>
  <c r="S100" i="5"/>
  <c r="T100" i="5" s="1"/>
  <c r="S223" i="5"/>
  <c r="T223" i="5" s="1"/>
  <c r="S309" i="5"/>
  <c r="T309" i="5" s="1"/>
  <c r="S224" i="5"/>
  <c r="T224" i="5" s="1"/>
  <c r="S49" i="5"/>
  <c r="T49" i="5" s="1"/>
  <c r="S246" i="5"/>
  <c r="T246" i="5" s="1"/>
  <c r="S310" i="5"/>
  <c r="T310" i="5" s="1"/>
  <c r="S225" i="5"/>
  <c r="T225" i="5" s="1"/>
  <c r="S85" i="5"/>
  <c r="T85" i="5" s="1"/>
  <c r="S278" i="5"/>
  <c r="T278" i="5" s="1"/>
  <c r="S40" i="5"/>
  <c r="T40" i="5" s="1"/>
  <c r="S226" i="5"/>
  <c r="T226" i="5" s="1"/>
  <c r="S77" i="5"/>
  <c r="T77" i="5" s="1"/>
  <c r="S238" i="5"/>
  <c r="S311" i="5"/>
  <c r="S265" i="5"/>
  <c r="S312" i="5"/>
  <c r="T312" i="5" s="1"/>
  <c r="S247" i="5"/>
  <c r="T247" i="5" s="1"/>
  <c r="S248" i="5"/>
  <c r="T248" i="5" s="1"/>
  <c r="S313" i="5"/>
  <c r="S249" i="5"/>
  <c r="S314" i="5"/>
  <c r="S239" i="5"/>
  <c r="S166" i="5"/>
  <c r="T166" i="5" s="1"/>
  <c r="S250" i="5"/>
  <c r="T250" i="5" s="1"/>
  <c r="S170" i="5"/>
  <c r="T170" i="5" s="1"/>
  <c r="S279" i="5"/>
  <c r="T279" i="5" s="1"/>
  <c r="S315" i="5"/>
  <c r="T315" i="5" s="1"/>
  <c r="S215" i="5"/>
  <c r="T215" i="5" s="1"/>
  <c r="S316" i="5"/>
  <c r="T316" i="5" s="1"/>
  <c r="S227" i="5"/>
  <c r="T227" i="5" s="1"/>
  <c r="S317" i="5"/>
  <c r="T317" i="5" s="1"/>
  <c r="S228" i="5"/>
  <c r="T228" i="5" s="1"/>
  <c r="S318" i="5"/>
  <c r="T318" i="5" s="1"/>
  <c r="S251" i="5"/>
  <c r="T251" i="5" s="1"/>
  <c r="S319" i="5"/>
  <c r="T319" i="5" s="1"/>
  <c r="S252" i="5"/>
  <c r="T252" i="5" s="1"/>
  <c r="S169" i="5"/>
  <c r="T169" i="5" s="1"/>
  <c r="S229" i="5"/>
  <c r="S320" i="5"/>
  <c r="S253" i="5"/>
  <c r="S321" i="5"/>
  <c r="T321" i="5" s="1"/>
  <c r="S254" i="5"/>
  <c r="T254" i="5" s="1"/>
  <c r="S141" i="5"/>
  <c r="T141" i="5" s="1"/>
  <c r="S255" i="5"/>
  <c r="T255" i="5" s="1"/>
  <c r="S322" i="5"/>
  <c r="T322" i="5" s="1"/>
  <c r="S256" i="5"/>
  <c r="T256" i="5" s="1"/>
  <c r="S110" i="5"/>
  <c r="T110" i="5" s="1"/>
  <c r="S240" i="5"/>
  <c r="T240" i="5" s="1"/>
  <c r="S323" i="5"/>
  <c r="T323" i="5" s="1"/>
  <c r="S257" i="5"/>
  <c r="T257" i="5" s="1"/>
  <c r="S31" i="5"/>
  <c r="T31" i="5" s="1"/>
  <c r="S205" i="5"/>
  <c r="T205" i="5" s="1"/>
  <c r="S324" i="5"/>
  <c r="T324" i="5" s="1"/>
  <c r="S280" i="5"/>
  <c r="T280" i="5" s="1"/>
  <c r="S36" i="5"/>
  <c r="T36" i="5" s="1"/>
  <c r="S266" i="5"/>
  <c r="T266" i="5" s="1"/>
  <c r="S325" i="5"/>
  <c r="T325" i="5" s="1"/>
  <c r="S241" i="5"/>
  <c r="T241" i="5" s="1"/>
  <c r="S33" i="5"/>
  <c r="T33" i="5" s="1"/>
  <c r="S258" i="5"/>
  <c r="T258" i="5" s="1"/>
  <c r="S326" i="5"/>
  <c r="T326" i="5" s="1"/>
  <c r="S230" i="5"/>
  <c r="S44" i="5"/>
  <c r="S267" i="5"/>
  <c r="S327" i="5"/>
  <c r="S216" i="5"/>
  <c r="T216" i="5" s="1"/>
  <c r="S93" i="5"/>
  <c r="T93" i="5" s="1"/>
  <c r="S217" i="5"/>
  <c r="T217" i="5" s="1"/>
  <c r="S328" i="5"/>
  <c r="S259" i="5"/>
  <c r="T259" i="5" s="1"/>
  <c r="S138" i="5"/>
  <c r="T138" i="5" s="1"/>
  <c r="S231" i="5"/>
  <c r="T231" i="5" s="1"/>
  <c r="S329" i="5"/>
  <c r="T329" i="5" s="1"/>
  <c r="S268" i="5"/>
  <c r="T268" i="5" s="1"/>
  <c r="S82" i="5"/>
  <c r="T82" i="5" s="1"/>
  <c r="S232" i="5"/>
  <c r="T232" i="5" s="1"/>
  <c r="S330" i="5"/>
  <c r="T330" i="5" s="1"/>
  <c r="S260" i="5"/>
  <c r="T260" i="5" s="1"/>
  <c r="S125" i="5"/>
  <c r="T125" i="5" s="1"/>
  <c r="S282" i="5"/>
  <c r="T282" i="5" s="1"/>
  <c r="S331" i="5"/>
  <c r="T331" i="5" s="1"/>
  <c r="S269" i="5"/>
  <c r="T269" i="5" s="1"/>
  <c r="S332" i="5"/>
  <c r="T332" i="5" s="1"/>
  <c r="S270" i="5"/>
  <c r="T270" i="5" s="1"/>
  <c r="S71" i="5"/>
  <c r="S333" i="5"/>
  <c r="S334" i="5"/>
  <c r="S81" i="5"/>
  <c r="S335" i="5"/>
  <c r="S114" i="5"/>
  <c r="S336" i="5"/>
  <c r="T336" i="5" s="1"/>
  <c r="S43" i="5"/>
  <c r="T43" i="5" s="1"/>
  <c r="S337" i="5"/>
  <c r="S338" i="5"/>
  <c r="T338" i="5" s="1"/>
  <c r="S339" i="5"/>
  <c r="T339" i="5" s="1"/>
  <c r="S156" i="5"/>
  <c r="T156" i="5" s="1"/>
  <c r="S340" i="5"/>
  <c r="T340" i="5" s="1"/>
  <c r="S341" i="5"/>
  <c r="T341" i="5" s="1"/>
  <c r="S342" i="5"/>
  <c r="T342" i="5" s="1"/>
  <c r="S343" i="5"/>
  <c r="T343" i="5" s="1"/>
  <c r="S344" i="5"/>
  <c r="T344" i="5" s="1"/>
  <c r="S179" i="5"/>
  <c r="T179" i="5" s="1"/>
  <c r="S345" i="5"/>
  <c r="T345" i="5" s="1"/>
  <c r="S346" i="5"/>
  <c r="T346" i="5" s="1"/>
  <c r="S347" i="5"/>
  <c r="T347" i="5" s="1"/>
  <c r="S62" i="5"/>
  <c r="T62" i="5" s="1"/>
  <c r="S348" i="5"/>
  <c r="T348" i="5" s="1"/>
  <c r="S349" i="5"/>
  <c r="T349" i="5" s="1"/>
  <c r="S89" i="5"/>
  <c r="S350" i="5"/>
  <c r="S351" i="5"/>
  <c r="S352" i="5"/>
  <c r="S353" i="5"/>
  <c r="T353" i="5" s="1"/>
  <c r="S283" i="5"/>
  <c r="T283" i="5" s="1"/>
  <c r="S354" i="5"/>
  <c r="T354" i="5" s="1"/>
  <c r="S47" i="5"/>
  <c r="T47" i="5" s="1"/>
  <c r="S355" i="5"/>
  <c r="S356" i="5"/>
  <c r="S357" i="5"/>
  <c r="T357" i="5" s="1"/>
  <c r="S61" i="5"/>
  <c r="T61" i="5" s="1"/>
  <c r="S358" i="5"/>
  <c r="T358" i="5" s="1"/>
  <c r="S32" i="5"/>
  <c r="T32" i="5" s="1"/>
  <c r="S359" i="5"/>
  <c r="T359" i="5" s="1"/>
  <c r="S98" i="5"/>
  <c r="T98" i="5" s="1"/>
  <c r="S360" i="5"/>
  <c r="T360" i="5" s="1"/>
  <c r="S185" i="5"/>
  <c r="T185" i="5" s="1"/>
  <c r="S361" i="5"/>
  <c r="T361" i="5" s="1"/>
  <c r="S45" i="5"/>
  <c r="T45" i="5" s="1"/>
  <c r="S362" i="5"/>
  <c r="T362" i="5" s="1"/>
  <c r="S175" i="5"/>
  <c r="T175" i="5" s="1"/>
  <c r="S363" i="5"/>
  <c r="T363" i="5" s="1"/>
  <c r="S57" i="5"/>
  <c r="T57" i="5" s="1"/>
  <c r="S364" i="5"/>
  <c r="T364" i="5" s="1"/>
  <c r="S113" i="5"/>
  <c r="S365" i="5"/>
  <c r="S189" i="5"/>
  <c r="S366" i="5"/>
  <c r="S107" i="5"/>
  <c r="T107" i="5" s="1"/>
  <c r="S367" i="5"/>
  <c r="T367" i="5" s="1"/>
  <c r="S165" i="5"/>
  <c r="T165" i="5" s="1"/>
  <c r="S368" i="5"/>
  <c r="S148" i="5"/>
  <c r="T148" i="5" s="1"/>
  <c r="S369" i="5"/>
  <c r="T369" i="5" s="1"/>
  <c r="S370" i="5"/>
  <c r="T370" i="5" s="1"/>
  <c r="S84" i="5"/>
  <c r="T84" i="5" s="1"/>
  <c r="S86" i="5"/>
  <c r="T86" i="5" s="1"/>
  <c r="S102" i="5"/>
  <c r="T102" i="5" s="1"/>
  <c r="S150" i="5"/>
  <c r="T150" i="5" s="1"/>
  <c r="S91" i="5"/>
  <c r="T91" i="5" s="1"/>
  <c r="S192" i="5"/>
  <c r="T192" i="5" s="1"/>
  <c r="S59" i="5"/>
  <c r="T59" i="5" s="1"/>
  <c r="S220" i="5"/>
  <c r="T220" i="5" s="1"/>
  <c r="S109" i="5"/>
  <c r="T109" i="5" s="1"/>
  <c r="S123" i="5"/>
  <c r="T123" i="5" s="1"/>
  <c r="S184" i="5"/>
  <c r="T184" i="5" s="1"/>
  <c r="S195" i="5"/>
  <c r="T195" i="5" s="1"/>
  <c r="S144" i="5"/>
  <c r="T144" i="5" s="1"/>
  <c r="S111" i="5"/>
  <c r="T111" i="5" s="1"/>
  <c r="S48" i="5"/>
  <c r="T48" i="5" s="1"/>
  <c r="S146" i="5"/>
  <c r="T146" i="5" s="1"/>
  <c r="S178" i="5"/>
  <c r="T178" i="5" s="1"/>
  <c r="S177" i="5"/>
  <c r="T177" i="5" s="1"/>
  <c r="S34" i="5"/>
  <c r="T34" i="5" s="1"/>
  <c r="S94" i="5"/>
  <c r="T94" i="5" s="1"/>
  <c r="S176" i="5"/>
  <c r="S142" i="5"/>
  <c r="T142" i="5" s="1"/>
  <c r="S158" i="5"/>
  <c r="T158" i="5" s="1"/>
  <c r="S182" i="5"/>
  <c r="T182" i="5" s="1"/>
  <c r="S95" i="5"/>
  <c r="T95" i="5" s="1"/>
  <c r="S52" i="5"/>
  <c r="T52" i="5" s="1"/>
  <c r="S42" i="5"/>
  <c r="T42" i="5" s="1"/>
  <c r="S188" i="5"/>
  <c r="T188" i="5" s="1"/>
  <c r="S160" i="5"/>
  <c r="T160" i="5" s="1"/>
  <c r="S196" i="5"/>
  <c r="T196" i="5" s="1"/>
  <c r="S154" i="5"/>
  <c r="T154" i="5" s="1"/>
  <c r="S75" i="5"/>
  <c r="T75" i="5" s="1"/>
  <c r="S134" i="5"/>
  <c r="T134" i="5" s="1"/>
  <c r="S163" i="5"/>
  <c r="T163" i="5" s="1"/>
  <c r="S181" i="5"/>
  <c r="T181" i="5" s="1"/>
  <c r="S145" i="5"/>
  <c r="T145" i="5" s="1"/>
  <c r="S137" i="5"/>
  <c r="S193" i="5"/>
  <c r="S199" i="5"/>
  <c r="S64" i="5"/>
  <c r="S198" i="5"/>
  <c r="S161" i="5"/>
  <c r="S131" i="5"/>
  <c r="S130" i="5"/>
  <c r="T130" i="5" s="1"/>
  <c r="S159" i="5"/>
  <c r="T159" i="5" s="1"/>
  <c r="S371" i="5"/>
  <c r="S56" i="5"/>
  <c r="T56" i="5" s="1"/>
  <c r="S157" i="5"/>
  <c r="T157" i="5" s="1"/>
  <c r="S97" i="5"/>
  <c r="T97" i="5" s="1"/>
  <c r="S242" i="5"/>
  <c r="T242" i="5" s="1"/>
  <c r="S112" i="5"/>
  <c r="T112" i="5" s="1"/>
  <c r="S120" i="5"/>
  <c r="T120" i="5" s="1"/>
  <c r="S194" i="5"/>
  <c r="T194" i="5" s="1"/>
  <c r="S50" i="5"/>
  <c r="T50" i="5" s="1"/>
  <c r="S105" i="5"/>
  <c r="T105" i="5" s="1"/>
  <c r="S147" i="5"/>
  <c r="T147" i="5" s="1"/>
  <c r="S99" i="5"/>
  <c r="T99" i="5" s="1"/>
  <c r="S10" i="5"/>
  <c r="T10" i="5" s="1"/>
  <c r="S200" i="5"/>
  <c r="T200" i="5" s="1"/>
  <c r="S151" i="5"/>
  <c r="T151" i="5" s="1"/>
  <c r="S122" i="5"/>
  <c r="T122" i="5" s="1"/>
  <c r="S11" i="5"/>
  <c r="S87" i="5"/>
  <c r="T87" i="5" s="1"/>
  <c r="S12" i="5"/>
  <c r="T12" i="5" s="1"/>
  <c r="S209" i="5"/>
  <c r="T209" i="5" s="1"/>
  <c r="S197" i="5"/>
  <c r="T197" i="5" s="1"/>
  <c r="S13" i="5"/>
  <c r="T13" i="5" s="1"/>
  <c r="S172" i="5"/>
  <c r="T172" i="5" s="1"/>
  <c r="S90" i="5"/>
  <c r="S14" i="5"/>
  <c r="T14" i="5" s="1"/>
  <c r="S15" i="5"/>
  <c r="T15" i="5" s="1"/>
  <c r="S149" i="5"/>
  <c r="T149" i="5" s="1"/>
  <c r="S139" i="5"/>
  <c r="T139" i="5" s="1"/>
  <c r="S76" i="5"/>
  <c r="T76" i="5" s="1"/>
  <c r="S372" i="5"/>
  <c r="T372" i="5" s="1"/>
  <c r="S373" i="5"/>
  <c r="T373" i="5" s="1"/>
  <c r="S70" i="5"/>
  <c r="T70" i="5" s="1"/>
  <c r="S135" i="5"/>
  <c r="T135" i="5" s="1"/>
  <c r="S127" i="5"/>
  <c r="T127" i="5" s="1"/>
  <c r="S153" i="5"/>
  <c r="T153" i="5" s="1"/>
  <c r="S186" i="5"/>
  <c r="T186" i="5" s="1"/>
  <c r="S173" i="5"/>
  <c r="T173" i="5" s="1"/>
  <c r="S104" i="5"/>
  <c r="T104" i="5" s="1"/>
  <c r="S374" i="5"/>
  <c r="T374" i="5" s="1"/>
  <c r="S375" i="5"/>
  <c r="T375" i="5" s="1"/>
  <c r="S103" i="5"/>
  <c r="S108" i="5"/>
  <c r="S183" i="5"/>
  <c r="S128" i="5"/>
  <c r="S152" i="5"/>
  <c r="S132" i="5"/>
  <c r="T132" i="5" s="1"/>
  <c r="S74" i="5"/>
  <c r="T74" i="5" s="1"/>
  <c r="S376" i="5"/>
  <c r="S191" i="5"/>
  <c r="S116" i="5"/>
  <c r="S80" i="5"/>
  <c r="T80" i="5" s="1"/>
  <c r="S167" i="5"/>
  <c r="T167" i="5" s="1"/>
  <c r="S377" i="5"/>
  <c r="T377" i="5" s="1"/>
  <c r="S180" i="5"/>
  <c r="T180" i="5" s="1"/>
  <c r="S378" i="5"/>
  <c r="T378" i="5" s="1"/>
  <c r="S73" i="5"/>
  <c r="T73" i="5" s="1"/>
  <c r="S124" i="5"/>
  <c r="T124" i="5" s="1"/>
  <c r="S115" i="5"/>
  <c r="T115" i="5" s="1"/>
  <c r="S55" i="5"/>
  <c r="T55" i="5" s="1"/>
  <c r="S51" i="5"/>
  <c r="T51" i="5" s="1"/>
  <c r="S140" i="5"/>
  <c r="T140" i="5" s="1"/>
  <c r="S69" i="5"/>
  <c r="T69" i="5" s="1"/>
  <c r="S168" i="5"/>
  <c r="T168" i="5" s="1"/>
  <c r="S136" i="5"/>
  <c r="S16" i="5"/>
  <c r="S17" i="5"/>
  <c r="T17" i="5" s="1"/>
  <c r="S18" i="5"/>
  <c r="T18" i="5" s="1"/>
  <c r="S19" i="5"/>
  <c r="T19" i="5" s="1"/>
  <c r="S20" i="5"/>
  <c r="T20" i="5" s="1"/>
  <c r="S271" i="5"/>
  <c r="T271" i="5" s="1"/>
  <c r="S210" i="5"/>
  <c r="T210" i="5" s="1"/>
  <c r="S21" i="5"/>
  <c r="S22" i="5"/>
  <c r="S23" i="5"/>
  <c r="S207" i="5"/>
  <c r="T207" i="5" s="1"/>
  <c r="S24" i="5"/>
  <c r="T24" i="5" s="1"/>
  <c r="S25" i="5"/>
  <c r="T25" i="5" s="1"/>
  <c r="S26" i="5"/>
  <c r="T26" i="5" s="1"/>
  <c r="S27" i="5"/>
  <c r="T27" i="5" s="1"/>
  <c r="S261" i="5"/>
  <c r="T261" i="5" s="1"/>
  <c r="S28" i="5"/>
  <c r="T28" i="5" s="1"/>
  <c r="S29" i="5"/>
  <c r="T29" i="5" s="1"/>
  <c r="S233" i="5"/>
  <c r="T233" i="5" s="1"/>
  <c r="S218" i="5"/>
  <c r="T218" i="5" s="1"/>
  <c r="S234" i="5"/>
  <c r="T234" i="5" s="1"/>
  <c r="S204" i="5"/>
  <c r="T204" i="5" s="1"/>
  <c r="S262" i="5"/>
  <c r="T262" i="5" s="1"/>
  <c r="S235" i="5"/>
  <c r="S272" i="5"/>
  <c r="S203" i="5"/>
  <c r="T203" i="5" s="1"/>
  <c r="S208" i="5"/>
  <c r="T208" i="5" s="1"/>
  <c r="S273" i="5"/>
  <c r="S263" i="5"/>
  <c r="T263" i="5" s="1"/>
  <c r="S219" i="5"/>
  <c r="T219" i="5" s="1"/>
  <c r="S236" i="5"/>
  <c r="T236" i="5" s="1"/>
  <c r="S274" i="5"/>
  <c r="S213" i="5"/>
  <c r="T213" i="5" s="1"/>
  <c r="S275" i="5"/>
  <c r="V275" i="5" s="1"/>
  <c r="S243" i="5"/>
  <c r="T243" i="5" s="1"/>
  <c r="S276" i="5"/>
  <c r="T276" i="5" s="1"/>
  <c r="S277" i="5"/>
  <c r="T277" i="5" s="1"/>
  <c r="T37" i="5"/>
  <c r="T68" i="5"/>
  <c r="T284" i="5"/>
  <c r="T281" i="5"/>
  <c r="T285" i="5"/>
  <c r="T60" i="5"/>
  <c r="T202" i="5"/>
  <c r="T299" i="5"/>
  <c r="T46" i="5"/>
  <c r="T305" i="5"/>
  <c r="T221" i="5"/>
  <c r="T67" i="5"/>
  <c r="T238" i="5"/>
  <c r="T311" i="5"/>
  <c r="T265" i="5"/>
  <c r="T313" i="5"/>
  <c r="T249" i="5"/>
  <c r="T314" i="5"/>
  <c r="T239" i="5"/>
  <c r="T229" i="5"/>
  <c r="T320" i="5"/>
  <c r="T253" i="5"/>
  <c r="T230" i="5"/>
  <c r="T44" i="5"/>
  <c r="T267" i="5"/>
  <c r="T327" i="5"/>
  <c r="T328" i="5"/>
  <c r="T71" i="5"/>
  <c r="T333" i="5"/>
  <c r="T334" i="5"/>
  <c r="T81" i="5"/>
  <c r="T335" i="5"/>
  <c r="T114" i="5"/>
  <c r="T337" i="5"/>
  <c r="T89" i="5"/>
  <c r="T350" i="5"/>
  <c r="T351" i="5"/>
  <c r="T352" i="5"/>
  <c r="T355" i="5"/>
  <c r="T113" i="5"/>
  <c r="T365" i="5"/>
  <c r="T189" i="5"/>
  <c r="T366" i="5"/>
  <c r="T368" i="5"/>
  <c r="T176" i="5"/>
  <c r="T137" i="5"/>
  <c r="T193" i="5"/>
  <c r="T199" i="5"/>
  <c r="T64" i="5"/>
  <c r="T198" i="5"/>
  <c r="T161" i="5"/>
  <c r="T131" i="5"/>
  <c r="T11" i="5"/>
  <c r="T90" i="5"/>
  <c r="T103" i="5"/>
  <c r="T108" i="5"/>
  <c r="T183" i="5"/>
  <c r="T128" i="5"/>
  <c r="T152" i="5"/>
  <c r="T376" i="5"/>
  <c r="T191" i="5"/>
  <c r="T116" i="5"/>
  <c r="T136" i="5"/>
  <c r="T16" i="5"/>
  <c r="T21" i="5"/>
  <c r="T22" i="5"/>
  <c r="T23" i="5"/>
  <c r="T235" i="5"/>
  <c r="T272" i="5"/>
  <c r="T273" i="5"/>
  <c r="T274" i="5"/>
  <c r="U37" i="5"/>
  <c r="U68" i="5"/>
  <c r="U284" i="5"/>
  <c r="U281" i="5"/>
  <c r="U285" i="5"/>
  <c r="U60" i="5"/>
  <c r="U286" i="5"/>
  <c r="U54" i="5"/>
  <c r="U38" i="5"/>
  <c r="U66" i="5"/>
  <c r="U287" i="5"/>
  <c r="U187" i="5"/>
  <c r="U121" i="5"/>
  <c r="U96" i="5"/>
  <c r="U288" i="5"/>
  <c r="U106" i="5"/>
  <c r="U88" i="5"/>
  <c r="V88" i="5" s="1"/>
  <c r="U129" i="5"/>
  <c r="V129" i="5" s="1"/>
  <c r="U289" i="5"/>
  <c r="U65" i="5"/>
  <c r="U119" i="5"/>
  <c r="V119" i="5" s="1"/>
  <c r="U58" i="5"/>
  <c r="V58" i="5" s="1"/>
  <c r="U290" i="5"/>
  <c r="U30" i="5"/>
  <c r="V30" i="5" s="1"/>
  <c r="U291" i="5"/>
  <c r="U53" i="5"/>
  <c r="U292" i="5"/>
  <c r="U41" i="5"/>
  <c r="U293" i="5"/>
  <c r="U39" i="5"/>
  <c r="U294" i="5"/>
  <c r="U117" i="5"/>
  <c r="V117" i="5" s="1"/>
  <c r="U295" i="5"/>
  <c r="U83" i="5"/>
  <c r="U296" i="5"/>
  <c r="U143" i="5"/>
  <c r="U63" i="5"/>
  <c r="U214" i="5"/>
  <c r="U297" i="5"/>
  <c r="U118" i="5"/>
  <c r="U174" i="5"/>
  <c r="V174" i="5" s="1"/>
  <c r="U72" i="5"/>
  <c r="V72" i="5" s="1"/>
  <c r="U126" i="5"/>
  <c r="U202" i="5"/>
  <c r="U155" i="5"/>
  <c r="V155" i="5" s="1"/>
  <c r="U164" i="5"/>
  <c r="V164" i="5" s="1"/>
  <c r="U298" i="5"/>
  <c r="U78" i="5"/>
  <c r="U190" i="5"/>
  <c r="U133" i="5"/>
  <c r="U101" i="5"/>
  <c r="U299" i="5"/>
  <c r="V299" i="5" s="1"/>
  <c r="U46" i="5"/>
  <c r="V46" i="5" s="1"/>
  <c r="U201" i="5"/>
  <c r="U206" i="5"/>
  <c r="U300" i="5"/>
  <c r="U171" i="5"/>
  <c r="U35" i="5"/>
  <c r="U162" i="5"/>
  <c r="U301" i="5"/>
  <c r="U302" i="5"/>
  <c r="U79" i="5"/>
  <c r="U92" i="5"/>
  <c r="U212" i="5"/>
  <c r="U303" i="5"/>
  <c r="V303" i="5" s="1"/>
  <c r="U245" i="5"/>
  <c r="V245" i="5" s="1"/>
  <c r="U304" i="5"/>
  <c r="U244" i="5"/>
  <c r="U305" i="5"/>
  <c r="V305" i="5" s="1"/>
  <c r="U237" i="5"/>
  <c r="V237" i="5" s="1"/>
  <c r="U306" i="5"/>
  <c r="U211" i="5"/>
  <c r="U307" i="5"/>
  <c r="U264" i="5"/>
  <c r="U308" i="5"/>
  <c r="U221" i="5"/>
  <c r="V221" i="5" s="1"/>
  <c r="U67" i="5"/>
  <c r="V67" i="5" s="1"/>
  <c r="U222" i="5"/>
  <c r="U100" i="5"/>
  <c r="U223" i="5"/>
  <c r="U309" i="5"/>
  <c r="U224" i="5"/>
  <c r="U49" i="5"/>
  <c r="U246" i="5"/>
  <c r="U310" i="5"/>
  <c r="U225" i="5"/>
  <c r="U85" i="5"/>
  <c r="U278" i="5"/>
  <c r="U40" i="5"/>
  <c r="V40" i="5" s="1"/>
  <c r="U226" i="5"/>
  <c r="V226" i="5" s="1"/>
  <c r="U77" i="5"/>
  <c r="U238" i="5"/>
  <c r="U311" i="5"/>
  <c r="V311" i="5" s="1"/>
  <c r="U265" i="5"/>
  <c r="V265" i="5" s="1"/>
  <c r="U312" i="5"/>
  <c r="U247" i="5"/>
  <c r="U248" i="5"/>
  <c r="U313" i="5"/>
  <c r="U249" i="5"/>
  <c r="U314" i="5"/>
  <c r="V314" i="5" s="1"/>
  <c r="U239" i="5"/>
  <c r="V239" i="5" s="1"/>
  <c r="U166" i="5"/>
  <c r="V166" i="5" s="1"/>
  <c r="U250" i="5"/>
  <c r="V250" i="5" s="1"/>
  <c r="U170" i="5"/>
  <c r="V170" i="5" s="1"/>
  <c r="U279" i="5"/>
  <c r="U315" i="5"/>
  <c r="U215" i="5"/>
  <c r="U316" i="5"/>
  <c r="U227" i="5"/>
  <c r="U317" i="5"/>
  <c r="U228" i="5"/>
  <c r="U318" i="5"/>
  <c r="U251" i="5"/>
  <c r="V251" i="5" s="1"/>
  <c r="U319" i="5"/>
  <c r="V319" i="5" s="1"/>
  <c r="U252" i="5"/>
  <c r="U169" i="5"/>
  <c r="U229" i="5"/>
  <c r="V229" i="5" s="1"/>
  <c r="U320" i="5"/>
  <c r="V320" i="5" s="1"/>
  <c r="U253" i="5"/>
  <c r="U321" i="5"/>
  <c r="U254" i="5"/>
  <c r="U141" i="5"/>
  <c r="U255" i="5"/>
  <c r="U322" i="5"/>
  <c r="V322" i="5" s="1"/>
  <c r="U256" i="5"/>
  <c r="V256" i="5" s="1"/>
  <c r="U110" i="5"/>
  <c r="U240" i="5"/>
  <c r="U323" i="5"/>
  <c r="U257" i="5"/>
  <c r="U31" i="5"/>
  <c r="V31" i="5" s="1"/>
  <c r="U205" i="5"/>
  <c r="U324" i="5"/>
  <c r="U280" i="5"/>
  <c r="U36" i="5"/>
  <c r="U266" i="5"/>
  <c r="U325" i="5"/>
  <c r="U241" i="5"/>
  <c r="V241" i="5" s="1"/>
  <c r="U33" i="5"/>
  <c r="V33" i="5" s="1"/>
  <c r="U258" i="5"/>
  <c r="U326" i="5"/>
  <c r="U230" i="5"/>
  <c r="V230" i="5" s="1"/>
  <c r="U44" i="5"/>
  <c r="V44" i="5" s="1"/>
  <c r="U267" i="5"/>
  <c r="U327" i="5"/>
  <c r="U216" i="5"/>
  <c r="U93" i="5"/>
  <c r="U217" i="5"/>
  <c r="U328" i="5"/>
  <c r="V328" i="5" s="1"/>
  <c r="U259" i="5"/>
  <c r="V259" i="5" s="1"/>
  <c r="U138" i="5"/>
  <c r="U231" i="5"/>
  <c r="U329" i="5"/>
  <c r="U268" i="5"/>
  <c r="U82" i="5"/>
  <c r="U232" i="5"/>
  <c r="U330" i="5"/>
  <c r="U260" i="5"/>
  <c r="U125" i="5"/>
  <c r="U282" i="5"/>
  <c r="U331" i="5"/>
  <c r="U269" i="5"/>
  <c r="V269" i="5" s="1"/>
  <c r="U332" i="5"/>
  <c r="V332" i="5" s="1"/>
  <c r="U270" i="5"/>
  <c r="U71" i="5"/>
  <c r="U333" i="5"/>
  <c r="V333" i="5" s="1"/>
  <c r="U334" i="5"/>
  <c r="V334" i="5" s="1"/>
  <c r="U81" i="5"/>
  <c r="U335" i="5"/>
  <c r="U114" i="5"/>
  <c r="U336" i="5"/>
  <c r="U43" i="5"/>
  <c r="U337" i="5"/>
  <c r="U338" i="5"/>
  <c r="U339" i="5"/>
  <c r="U156" i="5"/>
  <c r="U340" i="5"/>
  <c r="U341" i="5"/>
  <c r="U342" i="5"/>
  <c r="U343" i="5"/>
  <c r="U344" i="5"/>
  <c r="V344" i="5" s="1"/>
  <c r="U179" i="5"/>
  <c r="U345" i="5"/>
  <c r="U346" i="5"/>
  <c r="U347" i="5"/>
  <c r="U62" i="5"/>
  <c r="V62" i="5" s="1"/>
  <c r="U348" i="5"/>
  <c r="V348" i="5" s="1"/>
  <c r="U349" i="5"/>
  <c r="U89" i="5"/>
  <c r="U350" i="5"/>
  <c r="V350" i="5" s="1"/>
  <c r="U351" i="5"/>
  <c r="V351" i="5" s="1"/>
  <c r="U352" i="5"/>
  <c r="U353" i="5"/>
  <c r="U283" i="5"/>
  <c r="U354" i="5"/>
  <c r="U47" i="5"/>
  <c r="U355" i="5"/>
  <c r="V355" i="5" s="1"/>
  <c r="U356" i="5"/>
  <c r="U357" i="5"/>
  <c r="U61" i="5"/>
  <c r="U358" i="5"/>
  <c r="U32" i="5"/>
  <c r="U359" i="5"/>
  <c r="U98" i="5"/>
  <c r="U360" i="5"/>
  <c r="U185" i="5"/>
  <c r="U361" i="5"/>
  <c r="U45" i="5"/>
  <c r="U362" i="5"/>
  <c r="U175" i="5"/>
  <c r="V175" i="5" s="1"/>
  <c r="U363" i="5"/>
  <c r="V363" i="5" s="1"/>
  <c r="U57" i="5"/>
  <c r="U364" i="5"/>
  <c r="U113" i="5"/>
  <c r="V113" i="5" s="1"/>
  <c r="U365" i="5"/>
  <c r="V365" i="5" s="1"/>
  <c r="U189" i="5"/>
  <c r="U366" i="5"/>
  <c r="U107" i="5"/>
  <c r="U367" i="5"/>
  <c r="U165" i="5"/>
  <c r="U368" i="5"/>
  <c r="V368" i="5" s="1"/>
  <c r="U148" i="5"/>
  <c r="V148" i="5" s="1"/>
  <c r="U369" i="5"/>
  <c r="U370" i="5"/>
  <c r="U84" i="5"/>
  <c r="U86" i="5"/>
  <c r="U102" i="5"/>
  <c r="U150" i="5"/>
  <c r="U91" i="5"/>
  <c r="U192" i="5"/>
  <c r="U59" i="5"/>
  <c r="U220" i="5"/>
  <c r="U109" i="5"/>
  <c r="U123" i="5"/>
  <c r="V123" i="5" s="1"/>
  <c r="U184" i="5"/>
  <c r="V184" i="5" s="1"/>
  <c r="U195" i="5"/>
  <c r="U144" i="5"/>
  <c r="U111" i="5"/>
  <c r="V111" i="5" s="1"/>
  <c r="U48" i="5"/>
  <c r="V48" i="5" s="1"/>
  <c r="U146" i="5"/>
  <c r="U178" i="5"/>
  <c r="U177" i="5"/>
  <c r="U34" i="5"/>
  <c r="U94" i="5"/>
  <c r="U176" i="5"/>
  <c r="V176" i="5" s="1"/>
  <c r="U142" i="5"/>
  <c r="V142" i="5" s="1"/>
  <c r="U158" i="5"/>
  <c r="U182" i="5"/>
  <c r="V182" i="5" s="1"/>
  <c r="U95" i="5"/>
  <c r="U52" i="5"/>
  <c r="U42" i="5"/>
  <c r="U188" i="5"/>
  <c r="U160" i="5"/>
  <c r="U196" i="5"/>
  <c r="U154" i="5"/>
  <c r="U75" i="5"/>
  <c r="U134" i="5"/>
  <c r="U163" i="5"/>
  <c r="V163" i="5" s="1"/>
  <c r="U181" i="5"/>
  <c r="V181" i="5" s="1"/>
  <c r="U145" i="5"/>
  <c r="U137" i="5"/>
  <c r="U193" i="5"/>
  <c r="V193" i="5" s="1"/>
  <c r="U199" i="5"/>
  <c r="V199" i="5" s="1"/>
  <c r="U64" i="5"/>
  <c r="U198" i="5"/>
  <c r="U161" i="5"/>
  <c r="U131" i="5"/>
  <c r="U130" i="5"/>
  <c r="U159" i="5"/>
  <c r="V159" i="5" s="1"/>
  <c r="U371" i="5"/>
  <c r="U56" i="5"/>
  <c r="U157" i="5"/>
  <c r="U97" i="5"/>
  <c r="U242" i="5"/>
  <c r="U112" i="5"/>
  <c r="U120" i="5"/>
  <c r="U194" i="5"/>
  <c r="U50" i="5"/>
  <c r="U105" i="5"/>
  <c r="U147" i="5"/>
  <c r="U99" i="5"/>
  <c r="U10" i="5"/>
  <c r="V10" i="5" s="1"/>
  <c r="U200" i="5"/>
  <c r="V200" i="5" s="1"/>
  <c r="U151" i="5"/>
  <c r="U122" i="5"/>
  <c r="U11" i="5"/>
  <c r="V11" i="5" s="1"/>
  <c r="U87" i="5"/>
  <c r="V87" i="5" s="1"/>
  <c r="U12" i="5"/>
  <c r="V12" i="5" s="1"/>
  <c r="U209" i="5"/>
  <c r="U197" i="5"/>
  <c r="U13" i="5"/>
  <c r="V13" i="5" s="1"/>
  <c r="U172" i="5"/>
  <c r="U90" i="5"/>
  <c r="V90" i="5" s="1"/>
  <c r="U14" i="5"/>
  <c r="V14" i="5" s="1"/>
  <c r="U15" i="5"/>
  <c r="U149" i="5"/>
  <c r="V149" i="5" s="1"/>
  <c r="U139" i="5"/>
  <c r="V139" i="5" s="1"/>
  <c r="U76" i="5"/>
  <c r="U372" i="5"/>
  <c r="U373" i="5"/>
  <c r="U70" i="5"/>
  <c r="U135" i="5"/>
  <c r="U127" i="5"/>
  <c r="U153" i="5"/>
  <c r="U186" i="5"/>
  <c r="U173" i="5"/>
  <c r="V173" i="5" s="1"/>
  <c r="U104" i="5"/>
  <c r="V104" i="5" s="1"/>
  <c r="U374" i="5"/>
  <c r="U375" i="5"/>
  <c r="U103" i="5"/>
  <c r="V103" i="5" s="1"/>
  <c r="U108" i="5"/>
  <c r="V108" i="5" s="1"/>
  <c r="U183" i="5"/>
  <c r="U128" i="5"/>
  <c r="U152" i="5"/>
  <c r="U132" i="5"/>
  <c r="U74" i="5"/>
  <c r="U376" i="5"/>
  <c r="U191" i="5"/>
  <c r="U116" i="5"/>
  <c r="U80" i="5"/>
  <c r="U167" i="5"/>
  <c r="U377" i="5"/>
  <c r="U180" i="5"/>
  <c r="U378" i="5"/>
  <c r="U73" i="5"/>
  <c r="U124" i="5"/>
  <c r="U115" i="5"/>
  <c r="U55" i="5"/>
  <c r="U51" i="5"/>
  <c r="U140" i="5"/>
  <c r="V140" i="5" s="1"/>
  <c r="U69" i="5"/>
  <c r="V69" i="5" s="1"/>
  <c r="U168" i="5"/>
  <c r="U136" i="5"/>
  <c r="U16" i="5"/>
  <c r="V16" i="5" s="1"/>
  <c r="U17" i="5"/>
  <c r="V17" i="5" s="1"/>
  <c r="U18" i="5"/>
  <c r="V18" i="5" s="1"/>
  <c r="U19" i="5"/>
  <c r="V19" i="5" s="1"/>
  <c r="U20" i="5"/>
  <c r="V20" i="5" s="1"/>
  <c r="U271" i="5"/>
  <c r="U210" i="5"/>
  <c r="U21" i="5"/>
  <c r="U22" i="5"/>
  <c r="U23" i="5"/>
  <c r="U207" i="5"/>
  <c r="U24" i="5"/>
  <c r="U25" i="5"/>
  <c r="U26" i="5"/>
  <c r="U27" i="5"/>
  <c r="V27" i="5" s="1"/>
  <c r="U261" i="5"/>
  <c r="U28" i="5"/>
  <c r="V28" i="5" s="1"/>
  <c r="U29" i="5"/>
  <c r="V29" i="5" s="1"/>
  <c r="U233" i="5"/>
  <c r="U218" i="5"/>
  <c r="U234" i="5"/>
  <c r="V234" i="5" s="1"/>
  <c r="U204" i="5"/>
  <c r="V204" i="5" s="1"/>
  <c r="U262" i="5"/>
  <c r="U235" i="5"/>
  <c r="U272" i="5"/>
  <c r="V272" i="5" s="1"/>
  <c r="U203" i="5"/>
  <c r="V203" i="5" s="1"/>
  <c r="U208" i="5"/>
  <c r="U273" i="5"/>
  <c r="U263" i="5"/>
  <c r="U219" i="5"/>
  <c r="U236" i="5"/>
  <c r="U274" i="5"/>
  <c r="V274" i="5" s="1"/>
  <c r="U213" i="5"/>
  <c r="V213" i="5" s="1"/>
  <c r="U275" i="5"/>
  <c r="U243" i="5"/>
  <c r="U276" i="5"/>
  <c r="V276" i="5" s="1"/>
  <c r="U277" i="5"/>
  <c r="V277" i="5" s="1"/>
  <c r="V281" i="5"/>
  <c r="V285" i="5"/>
  <c r="V60" i="5"/>
  <c r="V286" i="5"/>
  <c r="V41" i="5"/>
  <c r="V293" i="5"/>
  <c r="V39" i="5"/>
  <c r="V294" i="5"/>
  <c r="V110" i="5"/>
  <c r="V138" i="5"/>
  <c r="V231" i="5"/>
  <c r="V337" i="5"/>
  <c r="V338" i="5"/>
  <c r="V339" i="5"/>
  <c r="V156" i="5"/>
  <c r="V340" i="5"/>
  <c r="V341" i="5"/>
  <c r="V342" i="5"/>
  <c r="V343" i="5"/>
  <c r="V15" i="5"/>
  <c r="V376" i="5"/>
  <c r="V191" i="5"/>
  <c r="V116" i="5"/>
  <c r="V21" i="5"/>
  <c r="V22" i="5"/>
  <c r="V23" i="5"/>
  <c r="V207" i="5"/>
  <c r="V24" i="5"/>
  <c r="V25" i="5"/>
  <c r="V26" i="5"/>
  <c r="B3" i="5"/>
  <c r="D4" i="5" a="1"/>
  <c r="D4" i="5" s="1"/>
  <c r="B4" i="5" a="1"/>
  <c r="B4" i="5" s="1"/>
  <c r="V73" i="5" l="1"/>
  <c r="V167" i="5"/>
  <c r="V323" i="5"/>
  <c r="V371" i="5"/>
  <c r="V356" i="5"/>
  <c r="V56" i="5"/>
  <c r="V357" i="5"/>
  <c r="T201" i="5"/>
  <c r="V205" i="5"/>
  <c r="V172" i="5"/>
  <c r="V165" i="5"/>
  <c r="V249" i="5"/>
  <c r="V284" i="5"/>
  <c r="V219" i="5"/>
  <c r="V131" i="5"/>
  <c r="V367" i="5"/>
  <c r="V354" i="5"/>
  <c r="V336" i="5"/>
  <c r="V93" i="5"/>
  <c r="V141" i="5"/>
  <c r="V313" i="5"/>
  <c r="V264" i="5"/>
  <c r="V133" i="5"/>
  <c r="V53" i="5"/>
  <c r="V68" i="5"/>
  <c r="V236" i="5"/>
  <c r="V74" i="5"/>
  <c r="V130" i="5"/>
  <c r="V47" i="5"/>
  <c r="V217" i="5"/>
  <c r="V101" i="5"/>
  <c r="V190" i="5"/>
  <c r="V210" i="5"/>
  <c r="V94" i="5"/>
  <c r="V43" i="5"/>
  <c r="V255" i="5"/>
  <c r="V308" i="5"/>
  <c r="V292" i="5"/>
  <c r="V158" i="5"/>
  <c r="V197" i="5"/>
  <c r="V177" i="5"/>
  <c r="V114" i="5"/>
  <c r="V248" i="5"/>
  <c r="V128" i="5"/>
  <c r="V209" i="5"/>
  <c r="V198" i="5"/>
  <c r="V178" i="5"/>
  <c r="V366" i="5"/>
  <c r="V353" i="5"/>
  <c r="V335" i="5"/>
  <c r="V327" i="5"/>
  <c r="V321" i="5"/>
  <c r="V247" i="5"/>
  <c r="V211" i="5"/>
  <c r="V78" i="5"/>
  <c r="T275" i="5"/>
  <c r="V271" i="5"/>
  <c r="V132" i="5"/>
  <c r="V34" i="5"/>
  <c r="V263" i="5"/>
  <c r="V152" i="5"/>
  <c r="V161" i="5"/>
  <c r="V107" i="5"/>
  <c r="V283" i="5"/>
  <c r="V216" i="5"/>
  <c r="V254" i="5"/>
  <c r="V307" i="5"/>
  <c r="V291" i="5"/>
  <c r="V37" i="5"/>
  <c r="V273" i="5"/>
  <c r="V208" i="5"/>
  <c r="V183" i="5"/>
  <c r="V64" i="5"/>
  <c r="V146" i="5"/>
  <c r="V189" i="5"/>
  <c r="V352" i="5"/>
  <c r="V81" i="5"/>
  <c r="V267" i="5"/>
  <c r="V253" i="5"/>
  <c r="V312" i="5"/>
  <c r="V306" i="5"/>
  <c r="V298" i="5"/>
  <c r="V290" i="5"/>
  <c r="T356" i="5"/>
  <c r="V378" i="5"/>
  <c r="V369" i="5"/>
  <c r="V326" i="5"/>
  <c r="V324" i="5"/>
  <c r="V180" i="5"/>
  <c r="V243" i="5"/>
  <c r="V235" i="5"/>
  <c r="V136" i="5"/>
  <c r="V375" i="5"/>
  <c r="V122" i="5"/>
  <c r="V137" i="5"/>
  <c r="V144" i="5"/>
  <c r="V364" i="5"/>
  <c r="V89" i="5"/>
  <c r="V71" i="5"/>
  <c r="V169" i="5"/>
  <c r="V238" i="5"/>
  <c r="V244" i="5"/>
  <c r="V202" i="5"/>
  <c r="V65" i="5"/>
  <c r="T371" i="5"/>
  <c r="V262" i="5"/>
  <c r="V168" i="5"/>
  <c r="V374" i="5"/>
  <c r="V151" i="5"/>
  <c r="V145" i="5"/>
  <c r="V195" i="5"/>
  <c r="V57" i="5"/>
  <c r="V349" i="5"/>
  <c r="V270" i="5"/>
  <c r="V258" i="5"/>
  <c r="V252" i="5"/>
  <c r="V77" i="5"/>
  <c r="V304" i="5"/>
  <c r="V126" i="5"/>
  <c r="V289" i="5"/>
  <c r="V91" i="5"/>
  <c r="V150" i="5"/>
  <c r="V102" i="5"/>
  <c r="V86" i="5"/>
  <c r="V84" i="5"/>
  <c r="V370" i="5"/>
  <c r="V329" i="5"/>
  <c r="V54" i="5"/>
  <c r="V218" i="5"/>
  <c r="V51" i="5"/>
  <c r="V186" i="5"/>
  <c r="V99" i="5"/>
  <c r="V134" i="5"/>
  <c r="V109" i="5"/>
  <c r="V362" i="5"/>
  <c r="V347" i="5"/>
  <c r="V331" i="5"/>
  <c r="V325" i="5"/>
  <c r="V318" i="5"/>
  <c r="V278" i="5"/>
  <c r="V212" i="5"/>
  <c r="V118" i="5"/>
  <c r="V106" i="5"/>
  <c r="V194" i="5"/>
  <c r="V75" i="5"/>
  <c r="V233" i="5"/>
  <c r="V157" i="5"/>
  <c r="V358" i="5"/>
  <c r="V153" i="5"/>
  <c r="V112" i="5"/>
  <c r="V223" i="5"/>
  <c r="V242" i="5"/>
  <c r="V100" i="5"/>
  <c r="T222" i="5"/>
  <c r="V97" i="5"/>
  <c r="V61" i="5"/>
  <c r="V300" i="5"/>
  <c r="V206" i="5"/>
  <c r="V224" i="5"/>
  <c r="V45" i="5"/>
  <c r="V120" i="5"/>
  <c r="V309" i="5"/>
  <c r="V377" i="5"/>
  <c r="V257" i="5"/>
  <c r="V80" i="5"/>
  <c r="V95" i="5"/>
  <c r="V240" i="5"/>
  <c r="V35" i="5"/>
  <c r="V85" i="5"/>
  <c r="V154" i="5"/>
  <c r="V225" i="5"/>
  <c r="V160" i="5"/>
  <c r="V192" i="5"/>
  <c r="V185" i="5"/>
  <c r="V310" i="5"/>
  <c r="V302" i="5"/>
  <c r="V63" i="5"/>
  <c r="V121" i="5"/>
  <c r="V55" i="5"/>
  <c r="V266" i="5"/>
  <c r="V36" i="5"/>
  <c r="V220" i="5"/>
  <c r="V38" i="5"/>
  <c r="V215" i="5"/>
  <c r="V282" i="5"/>
  <c r="V92" i="5"/>
  <c r="V127" i="5"/>
  <c r="V345" i="5"/>
  <c r="V214" i="5"/>
  <c r="V70" i="5"/>
  <c r="V279" i="5"/>
  <c r="V135" i="5"/>
  <c r="V260" i="5"/>
  <c r="V373" i="5"/>
  <c r="V98" i="5"/>
  <c r="V268" i="5"/>
  <c r="V76" i="5"/>
  <c r="V162" i="5"/>
  <c r="V316" i="5"/>
  <c r="V171" i="5"/>
  <c r="V288" i="5"/>
  <c r="V315" i="5"/>
  <c r="V115" i="5"/>
  <c r="V361" i="5"/>
  <c r="V79" i="5"/>
  <c r="V261" i="5"/>
  <c r="V232" i="5"/>
  <c r="V196" i="5"/>
  <c r="V227" i="5"/>
  <c r="V188" i="5"/>
  <c r="V143" i="5"/>
  <c r="V125" i="5"/>
  <c r="V147" i="5"/>
  <c r="V187" i="5"/>
  <c r="V287" i="5"/>
  <c r="V66" i="5"/>
  <c r="V297" i="5"/>
  <c r="V330" i="5"/>
  <c r="V59" i="5"/>
  <c r="V96" i="5"/>
  <c r="V360" i="5"/>
  <c r="V124" i="5"/>
  <c r="V179" i="5"/>
  <c r="V42" i="5"/>
  <c r="V32" i="5"/>
  <c r="V83" i="5"/>
  <c r="V346" i="5"/>
  <c r="V301" i="5"/>
  <c r="V228" i="5"/>
  <c r="V105" i="5"/>
  <c r="V317" i="5"/>
  <c r="V50" i="5"/>
  <c r="V280" i="5"/>
  <c r="V82" i="5"/>
  <c r="V372" i="5"/>
  <c r="V359" i="5"/>
  <c r="V52" i="5"/>
  <c r="V296" i="5"/>
  <c r="V246" i="5"/>
  <c r="V49" i="5"/>
  <c r="V295" i="5"/>
  <c r="B6" i="5"/>
  <c r="B5" i="5"/>
  <c r="V7" i="5" l="1"/>
  <c r="B7" i="5"/>
  <c r="V6" i="5"/>
  <c r="V3" i="5" l="1"/>
  <c r="V4" i="5"/>
  <c r="V5" i="5"/>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EF264A06-AF8A-46CF-B712-C5889F24CF5F}" keepAlive="1" name="Query - Current_Usage_Unique" description="Connection to the 'Current_Usage_Unique' query in the workbook." type="5" refreshedVersion="0" background="1" saveData="1">
    <dbPr connection="Provider=Microsoft.Mashup.OleDb.1;Data Source=$Workbook$;Location=Current_Usage_Unique;Extended Properties=&quot;&quot;" command="SELECT * FROM [Current_Usage_Unique]"/>
  </connection>
  <connection id="2" xr16:uid="{A5970351-781D-4850-8718-17F17A318EA6}" keepAlive="1" name="Query - Cycle_Usage" description="Connection to the 'Cycle_Usage' query in the workbook." type="5" refreshedVersion="8" background="1" saveData="1">
    <dbPr connection="Provider=Microsoft.Mashup.OleDb.1;Data Source=$Workbook$;Location=Cycle_Usage;Extended Properties=&quot;&quot;" command="SELECT * FROM [Cycle_Usage]"/>
  </connection>
  <connection id="3" xr16:uid="{E90D4988-B034-46DA-8E43-77C34835C346}" keepAlive="1" name="Query - Cycle_Usage1" description="Connection to the 'Cycle_Usage' query in the workbook." type="5" refreshedVersion="8" background="1" saveData="1">
    <dbPr connection="Provider=Microsoft.Mashup.OleDb.1;Data Source=$Workbook$;Location=Cycle_Usage;Extended Properties=&quot;&quot;" command="SELECT * FROM [Cycle_Usage]"/>
  </connection>
  <connection id="4" xr16:uid="{B1809A8D-64E2-4AFE-8595-732717F0D80D}" keepAlive="1" name="Query - Daily Reports_New" description="Connection to the 'Daily Reports_New' query in the workbook." type="5" refreshedVersion="0" background="1">
    <dbPr connection="Provider=Microsoft.Mashup.OleDb.1;Data Source=$Workbook$;Location=&quot;Daily Reports_New&quot;;Extended Properties=&quot;&quot;" command="SELECT * FROM [Daily Reports_New]"/>
  </connection>
  <connection id="5" xr16:uid="{07273518-7982-489C-8012-BB8CEE93D7FB}" keepAlive="1" interval="60" name="Query - Dashboard_Query" description="Connection to the 'Dashboard_Query' query in the workbook." type="5" refreshedVersion="8" background="1" refreshOnLoad="1" saveData="1">
    <dbPr connection="Provider=Microsoft.Mashup.OleDb.1;Data Source=$Workbook$;Location=Dashboard_Query;Extended Properties=&quot;&quot;" command="SELECT * FROM [Dashboard_Query]"/>
  </connection>
  <connection id="6" xr16:uid="{BD676E65-56C9-4357-B80E-8CC54A5634F6}" keepAlive="1" name="Query - Orders_Query" description="Connection to the 'Orders_Query' query in the workbook." type="5" refreshedVersion="0" background="1">
    <dbPr connection="Provider=Microsoft.Mashup.OleDb.1;Data Source=$Workbook$;Location=Orders_Query;Extended Properties=&quot;&quot;" command="SELECT * FROM [Orders_Query]"/>
  </connection>
  <connection id="7" xr16:uid="{B410E926-C74D-493C-AF45-2336D14EF69F}" keepAlive="1" name="Query - Parameter2" description="Connection to the 'Parameter2' query in the workbook." type="5" refreshedVersion="0" background="1">
    <dbPr connection="Provider=Microsoft.Mashup.OleDb.1;Data Source=$Workbook$;Location=Parameter2;Extended Properties=&quot;&quot;" command="SELECT * FROM [Parameter2]"/>
  </connection>
  <connection id="8" xr16:uid="{045F67AB-8561-4FE4-A241-3E6A4E9794B7}" keepAlive="1" name="Query - Report_Date" description="Connection to the 'Report_Date' query in the workbook." type="5" refreshedVersion="8" background="1" saveData="1">
    <dbPr connection="Provider=Microsoft.Mashup.OleDb.1;Data Source=$Workbook$;Location=Report_Date;Extended Properties=&quot;&quot;" command="SELECT * FROM [Report_Date]"/>
  </connection>
  <connection id="9" xr16:uid="{08702A97-5016-4C34-9A41-8C0460AE624B}" keepAlive="1" name="Query - Sample File (2)" description="Connection to the 'Sample File (2)' query in the workbook." type="5" refreshedVersion="0" background="1">
    <dbPr connection="Provider=Microsoft.Mashup.OleDb.1;Data Source=$Workbook$;Location=&quot;Sample File (2)&quot;;Extended Properties=&quot;&quot;" command="SELECT * FROM [Sample File (2)]"/>
  </connection>
  <connection id="10" xr16:uid="{A76F1EFB-426A-465A-8F98-513EB19ACBCD}" keepAlive="1" name="Query - Transform File (2)" description="Connection to the 'Transform File (2)' query in the workbook." type="5" refreshedVersion="0" background="1">
    <dbPr connection="Provider=Microsoft.Mashup.OleDb.1;Data Source=$Workbook$;Location=&quot;Transform File (2)&quot;;Extended Properties=&quot;&quot;" command="SELECT * FROM [Transform File (2)]"/>
  </connection>
  <connection id="11" xr16:uid="{34AEAD67-2B8F-41F8-B07C-F11F88B3E8A7}" keepAlive="1" name="Query - Transform Sample File (2)" description="Connection to the 'Transform Sample File (2)' query in the workbook." type="5" refreshedVersion="0" background="1">
    <dbPr connection="Provider=Microsoft.Mashup.OleDb.1;Data Source=$Workbook$;Location=&quot;Transform Sample File (2)&quot;;Extended Properties=&quot;&quot;" command="SELECT * FROM [Transform Sample File (2)]"/>
  </connection>
  <connection id="12" xr16:uid="{F6BF1E81-6D04-4913-AD4B-B98DA3106E76}" keepAlive="1" name="Query - Usage_History" description="Connection to the 'Usage_History' query in the workbook." type="5" refreshedVersion="0" background="1" saveData="1">
    <dbPr connection="Provider=Microsoft.Mashup.OleDb.1;Data Source=$Workbook$;Location=Usage_History;Extended Properties=&quot;&quot;" command="SELECT * FROM [Usage_History]"/>
  </connection>
  <connection id="13" xr16:uid="{9FA07AD7-A2E9-4DDB-8FFC-95EEBE4AFD92}" keepAlive="1" name="Query - Usage_Lookup" description="Connection to the 'Usage_Lookup' query in the workbook." type="5" refreshedVersion="8" background="1" saveData="1">
    <dbPr connection="Provider=Microsoft.Mashup.OleDb.1;Data Source=$Workbook$;Location=Usage_Lookup;Extended Properties=&quot;&quot;" command="SELECT * FROM [Usage_Lookup]"/>
  </connection>
  <connection id="14" xr16:uid="{B4946343-E609-4161-955C-837EAC9645D5}" keepAlive="1" name="Query - Usage_Lookup1" description="Connection to the 'Usage_Lookup' query in the workbook." type="5" refreshedVersion="8" background="1" saveData="1">
    <dbPr connection="Provider=Microsoft.Mashup.OleDb.1;Data Source=$Workbook$;Location=Usage_Lookup;Extended Properties=&quot;&quot;" command="SELECT * FROM [Usage_Lookup]"/>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<sst xmlns="http://schemas.openxmlformats.org/spreadsheetml/2006/main" count="3471" uniqueCount="481">
  <si>
    <t>STARLINK RENTAL DASHBOARD</t>
  </si>
  <si>
    <t>Report Name</t>
  </si>
  <si>
    <t>Report Date</t>
  </si>
  <si>
    <t>Over Limit</t>
  </si>
  <si>
    <t>Active Kits</t>
  </si>
  <si>
    <t>Deactivated Kits</t>
  </si>
  <si>
    <t>Warning 80%</t>
  </si>
  <si>
    <t>Total Monthly Allowance</t>
  </si>
  <si>
    <t>Healthy</t>
  </si>
  <si>
    <t>Current Usage</t>
  </si>
  <si>
    <t>Total Overage GB</t>
  </si>
  <si>
    <t>Remaining GB</t>
  </si>
  <si>
    <t>Average Usage</t>
  </si>
  <si>
    <t>Kit</t>
  </si>
  <si>
    <t>Ecode</t>
  </si>
  <si>
    <t>Client</t>
  </si>
  <si>
    <t>ITSS Contact</t>
  </si>
  <si>
    <t>Contact Email</t>
  </si>
  <si>
    <t>Order Number</t>
  </si>
  <si>
    <t>Billing Start Date</t>
  </si>
  <si>
    <t>Cycle Start</t>
  </si>
  <si>
    <t>Next Cycle Date</t>
  </si>
  <si>
    <t>Days Until Reset</t>
  </si>
  <si>
    <t>Monthly Allowance</t>
  </si>
  <si>
    <t>Alerts Enabled</t>
  </si>
  <si>
    <t>Status</t>
  </si>
  <si>
    <t>Baseline Date</t>
  </si>
  <si>
    <t>Plan Amount</t>
  </si>
  <si>
    <t>Data Usage (GB)</t>
  </si>
  <si>
    <t>GB Remaining</t>
  </si>
  <si>
    <t>% Used</t>
  </si>
  <si>
    <t>%Remaining</t>
  </si>
  <si>
    <t>Overage</t>
  </si>
  <si>
    <t>Biling Status</t>
  </si>
  <si>
    <t>KIT4M05872571T4K</t>
  </si>
  <si>
    <t>Deactivated</t>
  </si>
  <si>
    <t>KIT4M05872567V72</t>
  </si>
  <si>
    <t>KIT4M058725438WP</t>
  </si>
  <si>
    <t>KIT4M05872537SGZ</t>
  </si>
  <si>
    <t>KIT4M05872548P2H</t>
  </si>
  <si>
    <t>KIT4M0587256196K</t>
  </si>
  <si>
    <t>KIT4P00084593R9F</t>
  </si>
  <si>
    <t>KIT4M05872545Q8H</t>
  </si>
  <si>
    <t>KIT4M05872578G7Q</t>
  </si>
  <si>
    <t>KIT4M05872570FCC</t>
  </si>
  <si>
    <t>KIT4M0587253378R</t>
  </si>
  <si>
    <t>KIT4M05872547MK2</t>
  </si>
  <si>
    <t>KIT4M05872527QK6</t>
  </si>
  <si>
    <t>KIT4P00084602TKW</t>
  </si>
  <si>
    <t>KIT4P0008459589D</t>
  </si>
  <si>
    <t>KIT4M05872557NFB</t>
  </si>
  <si>
    <t>KIT4M058725505J5</t>
  </si>
  <si>
    <t>KIT4M05872580C6X</t>
  </si>
  <si>
    <t>KIT4M05872556RC9</t>
  </si>
  <si>
    <t>KIT4M05872524CFG</t>
  </si>
  <si>
    <t>KIT4M0587258755W</t>
  </si>
  <si>
    <t>KIT4M05872585HZZ</t>
  </si>
  <si>
    <t>KIT4M05872544BXG</t>
  </si>
  <si>
    <t>KIT4M05872583P58</t>
  </si>
  <si>
    <t>KIT4P00083897XCW</t>
  </si>
  <si>
    <t>KIT4P0008460369B</t>
  </si>
  <si>
    <t>KIT4P000832806P4</t>
  </si>
  <si>
    <t>KIT4M05872568PR6</t>
  </si>
  <si>
    <t>KIT4M05872554RHM</t>
  </si>
  <si>
    <t>KIT4M05872574NKX</t>
  </si>
  <si>
    <t>KIT4M05872555BJR</t>
  </si>
  <si>
    <t>KIT4M0587256692N</t>
  </si>
  <si>
    <t>KIT4M05872584M6H</t>
  </si>
  <si>
    <t>KIT4M05872575BC8</t>
  </si>
  <si>
    <t>KIT4M05872559VR9</t>
  </si>
  <si>
    <t>KIT4M05872576R4B</t>
  </si>
  <si>
    <t>KIT4M05872553WFR</t>
  </si>
  <si>
    <t>KIT4M05872586VCH</t>
  </si>
  <si>
    <t>KIT4M05872579JPF</t>
  </si>
  <si>
    <t>KIT4M05872573K7P</t>
  </si>
  <si>
    <t>KIT4M05872582TC7</t>
  </si>
  <si>
    <t>KIT4M058725265DP</t>
  </si>
  <si>
    <t>KIT4M05872590N8X</t>
  </si>
  <si>
    <t>KIT4M05872551G9S</t>
  </si>
  <si>
    <t>KIT4M05872534RXS</t>
  </si>
  <si>
    <t>KIT4M05872531DSZ</t>
  </si>
  <si>
    <t>KIT4M05872518P78</t>
  </si>
  <si>
    <t>KIT4M05872515PJT</t>
  </si>
  <si>
    <t>KIT4M05872498PP4</t>
  </si>
  <si>
    <t>KIT4M05872588W8G</t>
  </si>
  <si>
    <t>KIT4M05872539ZMR</t>
  </si>
  <si>
    <t>KIT4M05872577TWT</t>
  </si>
  <si>
    <t>KIT4M05872564MCF</t>
  </si>
  <si>
    <t>KIT4M05872589TM9</t>
  </si>
  <si>
    <t>KIT4M05872525NP5</t>
  </si>
  <si>
    <t>KIT4M05872513F7N</t>
  </si>
  <si>
    <t>KIT4P00083890S2G</t>
  </si>
  <si>
    <t>KIT4M05872563FWB</t>
  </si>
  <si>
    <t>KIT4M0587257292W</t>
  </si>
  <si>
    <t>KIT4M05872523VVB</t>
  </si>
  <si>
    <t>KIT4M05872496MW6</t>
  </si>
  <si>
    <t>KIT4M058725695CN</t>
  </si>
  <si>
    <t>KIT4M0415471759B</t>
  </si>
  <si>
    <t>KIT4M05872565VJK</t>
  </si>
  <si>
    <t>KIT4M05872536JFD</t>
  </si>
  <si>
    <t>KIT4M05872519KTN</t>
  </si>
  <si>
    <t>KIT4M058725299QP</t>
  </si>
  <si>
    <t>KIT4M058725094XP</t>
  </si>
  <si>
    <t>KIT4M058724947VX</t>
  </si>
  <si>
    <t>KIT4M05872516CJM</t>
  </si>
  <si>
    <t>KIT4M05872507528</t>
  </si>
  <si>
    <t>KIT4M058725047FZ</t>
  </si>
  <si>
    <t>KIT4M058725108K2</t>
  </si>
  <si>
    <t>KIT4M05872500684</t>
  </si>
  <si>
    <t>KIT4M05872528P9D</t>
  </si>
  <si>
    <t>KIT4M05872506TTB</t>
  </si>
  <si>
    <t>KIT4M05872530RPF</t>
  </si>
  <si>
    <t>KIT4M05872517VS2</t>
  </si>
  <si>
    <t>KIT4M05872508VTN</t>
  </si>
  <si>
    <t>KIT4M05872511F6P</t>
  </si>
  <si>
    <t>KIT4M05872486FXZ</t>
  </si>
  <si>
    <t>KIT4M058724975J4</t>
  </si>
  <si>
    <t>KIT4M05799733FPK</t>
  </si>
  <si>
    <t>KIT4M05872522W7W</t>
  </si>
  <si>
    <t>KIT4M06490327GMP</t>
  </si>
  <si>
    <t>KIT4M06490321NJX</t>
  </si>
  <si>
    <t>KIT4P00066901JZZ</t>
  </si>
  <si>
    <t>Yes</t>
  </si>
  <si>
    <t>Active</t>
  </si>
  <si>
    <t>KIT4M05563538RZV</t>
  </si>
  <si>
    <t>KIT4P00065641GDF</t>
  </si>
  <si>
    <t>GRASSHOPPER</t>
  </si>
  <si>
    <t>Heather Wiskow</t>
  </si>
  <si>
    <t>2026.Grasshopper.ITSS@firenet.gov</t>
  </si>
  <si>
    <t>KIT4P0007258645B</t>
  </si>
  <si>
    <t>Powder River</t>
  </si>
  <si>
    <t>Darren Toya</t>
  </si>
  <si>
    <t>2026.PowderRiver.ITSS@firenet.gov</t>
  </si>
  <si>
    <t>KIT4P000739257CR</t>
  </si>
  <si>
    <t>KIT4P00073954DZ8</t>
  </si>
  <si>
    <t>KIT4P00073152MPN</t>
  </si>
  <si>
    <t>KIT4M05563513GTF</t>
  </si>
  <si>
    <t>Anthony</t>
  </si>
  <si>
    <t>Cassandra Heide</t>
  </si>
  <si>
    <t>2026.Anthony.ITSS@firenet.gov</t>
  </si>
  <si>
    <t>KIT4P00065630DZT</t>
  </si>
  <si>
    <t>Salyer Guard Station</t>
  </si>
  <si>
    <t>Bryan Lanning</t>
  </si>
  <si>
    <t>bryan.lanning@usda.gov</t>
  </si>
  <si>
    <t>KIT4M055635834N7</t>
  </si>
  <si>
    <t>KIT4M055635088NK</t>
  </si>
  <si>
    <t>KIT4M05563529K2D</t>
  </si>
  <si>
    <t>KIT4M04158951RH6</t>
  </si>
  <si>
    <t>KIT4P000668852J9</t>
  </si>
  <si>
    <t>KIT4M05563527J4C</t>
  </si>
  <si>
    <t>KIT4M055635329VD</t>
  </si>
  <si>
    <t>KIT4M05413791FK5</t>
  </si>
  <si>
    <t>North Cayuse</t>
  </si>
  <si>
    <t xml:space="preserve">  Brian Lamb</t>
  </si>
  <si>
    <t>Shelby_Glass@firenet.gov</t>
  </si>
  <si>
    <t>KIT4P00066915CBF</t>
  </si>
  <si>
    <t>KIT4M0415609166K</t>
  </si>
  <si>
    <t>KIT4P00065631CPZ</t>
  </si>
  <si>
    <t>KIT4M05563502GJS</t>
  </si>
  <si>
    <t>KIT4M05563585TXM</t>
  </si>
  <si>
    <t>KIT4M055635887MK</t>
  </si>
  <si>
    <t>KIT4M05563537G4G</t>
  </si>
  <si>
    <t>KIT4M05563598Z74</t>
  </si>
  <si>
    <t>KIT4M05563504MBB</t>
  </si>
  <si>
    <t>KIT4M05413779VSD</t>
  </si>
  <si>
    <t>KIT4P00065640BFW</t>
  </si>
  <si>
    <t>KIT4P00073922FPF</t>
  </si>
  <si>
    <t>KIT4M055635979XD</t>
  </si>
  <si>
    <t>KIT4M03867766NGK</t>
  </si>
  <si>
    <t>KIT4M05413835RPF</t>
  </si>
  <si>
    <t>KIT4M04158967K28</t>
  </si>
  <si>
    <t>KIT4M05563510TWC</t>
  </si>
  <si>
    <t>KIT4M054138175VJ</t>
  </si>
  <si>
    <t>Aspen Acres</t>
  </si>
  <si>
    <t>Calvin Moses</t>
  </si>
  <si>
    <t>2026.AspenAcres.ITSS@firenet.gov</t>
  </si>
  <si>
    <t>KIT4M05563548P9Q</t>
  </si>
  <si>
    <t>KIT4P00065644SB2</t>
  </si>
  <si>
    <t>KIT4M054138125NW</t>
  </si>
  <si>
    <t>Coleman Creek</t>
  </si>
  <si>
    <t>Daren Howard</t>
  </si>
  <si>
    <t>KIT4M05563528MKX</t>
  </si>
  <si>
    <t>KIT4M05563590ZFQ</t>
  </si>
  <si>
    <t>KIT4M055635227ZR</t>
  </si>
  <si>
    <t>KIT4M05563584FVC</t>
  </si>
  <si>
    <t>KIT4M05368194X6V</t>
  </si>
  <si>
    <t>OLD TRAILS</t>
  </si>
  <si>
    <t>Martin Cohn</t>
  </si>
  <si>
    <t>2026.OldTrailFire.ITSS@firenet.gov</t>
  </si>
  <si>
    <t>KIT4M05563579H9F</t>
  </si>
  <si>
    <t>KIT4M05563521ZSX</t>
  </si>
  <si>
    <t>KIT4M05413771PVH</t>
  </si>
  <si>
    <t>KIT4M05563574ZBN</t>
  </si>
  <si>
    <t>KIT4M05563549RSR</t>
  </si>
  <si>
    <t>KIT4M046047372KJ</t>
  </si>
  <si>
    <t>KIT4M055635305RS</t>
  </si>
  <si>
    <t>KIT4M05563560225</t>
  </si>
  <si>
    <t>KIT4M054137885SM</t>
  </si>
  <si>
    <t>KIT4M054138324MW</t>
  </si>
  <si>
    <t>KIT4M05563603CP4</t>
  </si>
  <si>
    <t>KIT4M05413808FFZ</t>
  </si>
  <si>
    <t>KIT4M03867737P9P</t>
  </si>
  <si>
    <t>KIT4P00065612DJF</t>
  </si>
  <si>
    <t>2026 Fishlake Support</t>
  </si>
  <si>
    <t>Marlene Chapel</t>
  </si>
  <si>
    <t>UTRFC@firenet.gov</t>
  </si>
  <si>
    <t>KIT4M03476116F45</t>
  </si>
  <si>
    <t>KIT4M05563534GZ7</t>
  </si>
  <si>
    <t>KIT4M05413783PFQ</t>
  </si>
  <si>
    <t>KIT4M03476114VCM</t>
  </si>
  <si>
    <t>KIT4M05413811F4Q</t>
  </si>
  <si>
    <t>KIT4M05413805MKQ</t>
  </si>
  <si>
    <t>KIT4M05413770WCC</t>
  </si>
  <si>
    <t>KIT4M041536494G6</t>
  </si>
  <si>
    <t>KIT4M05563562F45</t>
  </si>
  <si>
    <t>KIT4M055635238J6</t>
  </si>
  <si>
    <t>KIT4M05413820QXJ</t>
  </si>
  <si>
    <t>KIT4M04604747TPT</t>
  </si>
  <si>
    <t>KIT4M055635475JB</t>
  </si>
  <si>
    <t>KIT4M05563586ZTR</t>
  </si>
  <si>
    <t>KIT4M025787739XF</t>
  </si>
  <si>
    <t>KIT4M04604743HSS</t>
  </si>
  <si>
    <t>KIT4P00065593VWC</t>
  </si>
  <si>
    <t>Charity Wensenk</t>
  </si>
  <si>
    <t>cwensenk@blm.gov</t>
  </si>
  <si>
    <t>KIT4M05413839D24</t>
  </si>
  <si>
    <t>KIT4M041546939GJ</t>
  </si>
  <si>
    <t>KIT4M04604745G8Z</t>
  </si>
  <si>
    <t>KIT4M044751638F5</t>
  </si>
  <si>
    <t>2026 FNF ABCD Misc</t>
  </si>
  <si>
    <t>Michael West</t>
  </si>
  <si>
    <t>michael.b.west@usda.gov</t>
  </si>
  <si>
    <t>KIT4P000739124KF</t>
  </si>
  <si>
    <t>KIT4M046047467T4</t>
  </si>
  <si>
    <t>KIT4M05413775N9M</t>
  </si>
  <si>
    <t>KIT4M054138222CP</t>
  </si>
  <si>
    <t>KIT4M05413792H8C</t>
  </si>
  <si>
    <t>Ferris</t>
  </si>
  <si>
    <t>Andrew Goldman</t>
  </si>
  <si>
    <t>2026.Ferris.ITSS@firenet.gov</t>
  </si>
  <si>
    <t>KIT4M055635158PC</t>
  </si>
  <si>
    <t>KIT4M05563610HM2</t>
  </si>
  <si>
    <t>KIT4M03866627GHD</t>
  </si>
  <si>
    <t>KIT4M05563525VC6</t>
  </si>
  <si>
    <t>2026 CTF Support</t>
  </si>
  <si>
    <t>Rebecca Phelps</t>
  </si>
  <si>
    <t>Rebecca.phelps@usda.gov</t>
  </si>
  <si>
    <t>KIT4M05413787HHK</t>
  </si>
  <si>
    <t>KIT4M04604741P2X</t>
  </si>
  <si>
    <t>KIT4M0556358988Z</t>
  </si>
  <si>
    <t>KIT4M05563511FF4</t>
  </si>
  <si>
    <t>KIT4M05413774JZX</t>
  </si>
  <si>
    <t>KIT4M05413784W4K</t>
  </si>
  <si>
    <t>KIT4M05563593DMC</t>
  </si>
  <si>
    <t>KIT4M05413794SSC</t>
  </si>
  <si>
    <t>KIT4P00073957GV5</t>
  </si>
  <si>
    <t>KIT4M054137987GJ</t>
  </si>
  <si>
    <t>KIT4P00073915XX6</t>
  </si>
  <si>
    <t>KIT4M046047384RX</t>
  </si>
  <si>
    <t>KIT4P000655962DJ</t>
  </si>
  <si>
    <t>KIT4M05368201SNV</t>
  </si>
  <si>
    <t>KIT4M05563520SH2</t>
  </si>
  <si>
    <t>KIT4M04475151HTP</t>
  </si>
  <si>
    <t>KIT4M05413837SMB</t>
  </si>
  <si>
    <t>KIT4M05563531XSB</t>
  </si>
  <si>
    <t>KIT4M04475159PMD</t>
  </si>
  <si>
    <t>KIT4M05368336DBC</t>
  </si>
  <si>
    <t>KIT4M05368221HQ5</t>
  </si>
  <si>
    <t>KIT4M05413836KJC</t>
  </si>
  <si>
    <t>KIT4M05413804SKS</t>
  </si>
  <si>
    <t>KIT4M054138257Z7</t>
  </si>
  <si>
    <t>KIT4M05368213974</t>
  </si>
  <si>
    <t>KIT4M03986275Q4M</t>
  </si>
  <si>
    <t>KIT4M05563517BVR</t>
  </si>
  <si>
    <t>KIT4M0460475549Z</t>
  </si>
  <si>
    <t>KIT4M05413780XFH</t>
  </si>
  <si>
    <t>KIT4M05563524MJ4</t>
  </si>
  <si>
    <t>KIT4M05413828PCT</t>
  </si>
  <si>
    <t>KIT4M03867749CW5</t>
  </si>
  <si>
    <t>KIT4M05413781K6C</t>
  </si>
  <si>
    <t>KIT4M05413803FDK</t>
  </si>
  <si>
    <t>KIT4M05368220FG8</t>
  </si>
  <si>
    <t>KIT4M05563514P8T</t>
  </si>
  <si>
    <t>KIT4M05563512GBQ</t>
  </si>
  <si>
    <t>KIT4M046047397TM</t>
  </si>
  <si>
    <t>KIT4M04606110GTV</t>
  </si>
  <si>
    <t>KIT4M04604740BM6</t>
  </si>
  <si>
    <t>KIT4M05413821GGW</t>
  </si>
  <si>
    <t>KIT4M04604736T7C</t>
  </si>
  <si>
    <t>KIT4M04475149XG5</t>
  </si>
  <si>
    <t>KIT4M04475128THH</t>
  </si>
  <si>
    <t>KIT4M054138189C7</t>
  </si>
  <si>
    <t>KIT4M04604744V6K</t>
  </si>
  <si>
    <t>KIT4M04604742S6S</t>
  </si>
  <si>
    <t>KIT4M05413789Z8C</t>
  </si>
  <si>
    <t>KIT4M05413826Z6Z</t>
  </si>
  <si>
    <t>KIT4M03866596RZG</t>
  </si>
  <si>
    <t>KIT4M05368226W57</t>
  </si>
  <si>
    <t>KIT4M05413786BXC</t>
  </si>
  <si>
    <t>KIT4M05563606ZRC</t>
  </si>
  <si>
    <t>KIT4M053683324KZ</t>
  </si>
  <si>
    <t>KIT4M05368200MVF</t>
  </si>
  <si>
    <t>KIT4M03986264P49</t>
  </si>
  <si>
    <t>KIT4M04350554X4Z</t>
  </si>
  <si>
    <t>KIT4M05413776H84</t>
  </si>
  <si>
    <t>KIT4M05413785QCG</t>
  </si>
  <si>
    <t>David Yim</t>
  </si>
  <si>
    <t>KIT4P00073918HBX</t>
  </si>
  <si>
    <t>KIT4M05563509CHJ</t>
  </si>
  <si>
    <t>KIT4M054138318Q7</t>
  </si>
  <si>
    <t>KIT4M054138074NS</t>
  </si>
  <si>
    <t>KIT4M05413813HSJ</t>
  </si>
  <si>
    <t>KIT4M05413769796</t>
  </si>
  <si>
    <t>KIT4P00065633ZXC</t>
  </si>
  <si>
    <t>KIT4M054138007JF</t>
  </si>
  <si>
    <t>KIT4M05413834FTH</t>
  </si>
  <si>
    <t>KIT4M0541381584X</t>
  </si>
  <si>
    <t>KIT4M05413810Q4Z</t>
  </si>
  <si>
    <t>KIT4P0006563862J</t>
  </si>
  <si>
    <t>Paradise</t>
  </si>
  <si>
    <t>Ben Broyles</t>
  </si>
  <si>
    <t>benjamin_broyles@firenet.gov</t>
  </si>
  <si>
    <t>KIT4P00066070HN4</t>
  </si>
  <si>
    <t>KIT4M03986267RWH</t>
  </si>
  <si>
    <t>KIT4M054137938P7</t>
  </si>
  <si>
    <t>KIT4M054138249M8</t>
  </si>
  <si>
    <t>KIT4M05563526WNC</t>
  </si>
  <si>
    <t>KIT4M05413816N8K</t>
  </si>
  <si>
    <t>KIT4M054137997HR</t>
  </si>
  <si>
    <t>KIT4M05413809J58</t>
  </si>
  <si>
    <t>KIT4M05413773R6G</t>
  </si>
  <si>
    <t>KIT4M05413795QHK</t>
  </si>
  <si>
    <t>KIT4M05413797HK5</t>
  </si>
  <si>
    <t>KIT4P00066848VQM</t>
  </si>
  <si>
    <t>KIT4M05413796V9K</t>
  </si>
  <si>
    <t>KIT4M05413790XCD</t>
  </si>
  <si>
    <t>KIT4M05413802FVN</t>
  </si>
  <si>
    <t>Newton</t>
  </si>
  <si>
    <t>Jamie Chopp</t>
  </si>
  <si>
    <t>jamie.chopp@usda.gov</t>
  </si>
  <si>
    <t>KIT4M05413782GHW</t>
  </si>
  <si>
    <t>KIT4M054138064J9</t>
  </si>
  <si>
    <t>KIT4M05413827DC4</t>
  </si>
  <si>
    <t>KIT4M05413823B5P</t>
  </si>
  <si>
    <t>KIT4M05563533M9N</t>
  </si>
  <si>
    <t>KIT4M05413819JV5</t>
  </si>
  <si>
    <t>KIT4M05413778RBR</t>
  </si>
  <si>
    <t>KIT4M05368219KRH</t>
  </si>
  <si>
    <t>KIT4M05563573WKC</t>
  </si>
  <si>
    <t>KIT4M0556355588P</t>
  </si>
  <si>
    <t>KIT4M054138292ZP</t>
  </si>
  <si>
    <t>Camp</t>
  </si>
  <si>
    <t>KIT4M02578775B9Q</t>
  </si>
  <si>
    <t>KIT4M04604734ZZX</t>
  </si>
  <si>
    <t>Section Three Pond</t>
  </si>
  <si>
    <t>KIT4M04475152RGR</t>
  </si>
  <si>
    <t>KIT4M04606113TPB</t>
  </si>
  <si>
    <t>KIT4M05413801QJB</t>
  </si>
  <si>
    <t>KIT4M05413777DGG</t>
  </si>
  <si>
    <t>KIT4M04158973M2C</t>
  </si>
  <si>
    <t>KIT4M05413772977</t>
  </si>
  <si>
    <t>KIT4M05413840D9J</t>
  </si>
  <si>
    <t>KIT4M05368206BZP</t>
  </si>
  <si>
    <t>KIT4M0556351956H</t>
  </si>
  <si>
    <t>KIT4M05563536BPJ</t>
  </si>
  <si>
    <t>KIT4P00072391SZM</t>
  </si>
  <si>
    <t>KIT4M05413830JN7</t>
  </si>
  <si>
    <t>CY26 MNCC IA Dispatch</t>
  </si>
  <si>
    <t>Michael Mackey</t>
  </si>
  <si>
    <t>michael_mackey@firenet.gov</t>
  </si>
  <si>
    <t>KIT4M05368340DMZ</t>
  </si>
  <si>
    <t>KIT4M05563551N6Q</t>
  </si>
  <si>
    <t>KIT4M05563503XXP</t>
  </si>
  <si>
    <t>KIT4M05563554WCW</t>
  </si>
  <si>
    <t>KIT4M05563518ZJD</t>
  </si>
  <si>
    <t>KIT4M055635779MM</t>
  </si>
  <si>
    <t>KIT4M05563505WPS</t>
  </si>
  <si>
    <t>KIT4M038677586ZX</t>
  </si>
  <si>
    <t>KIT4M04476539RJ5</t>
  </si>
  <si>
    <t>KIT4M05413814GPJ</t>
  </si>
  <si>
    <t>KIT4M05563571G8W</t>
  </si>
  <si>
    <t>No</t>
  </si>
  <si>
    <t>MP18</t>
  </si>
  <si>
    <t>0587 SHINGLE</t>
  </si>
  <si>
    <t>daren_howard@firenet.gov</t>
  </si>
  <si>
    <t>Prairie Mountain Fire</t>
  </si>
  <si>
    <t xml:space="preserve">Ray Wilson </t>
  </si>
  <si>
    <t>raymond.wilson@usda.gov</t>
  </si>
  <si>
    <t>Bug Fire</t>
  </si>
  <si>
    <t>2026.bug.itss@firenet.gov</t>
  </si>
  <si>
    <t>connor.england@dnr.wa.gov</t>
  </si>
  <si>
    <t>Connor England</t>
  </si>
  <si>
    <t>Austin</t>
  </si>
  <si>
    <t>Billy Padgett</t>
  </si>
  <si>
    <t>2026.Austin.ITSS@firenet.gov</t>
  </si>
  <si>
    <t>KIT4M05872512N5W</t>
  </si>
  <si>
    <t>KIT4M05872520QJM</t>
  </si>
  <si>
    <t>KIT4M06490319DDN</t>
  </si>
  <si>
    <t>KIT4M057996395ZF</t>
  </si>
  <si>
    <t>KIT4M057996885ZV</t>
  </si>
  <si>
    <t>KIT4M05799683GCK</t>
  </si>
  <si>
    <t>KIT4M05799685DG5</t>
  </si>
  <si>
    <t>KIT4M05799663CPM</t>
  </si>
  <si>
    <t>KIT4M05799706Z6R</t>
  </si>
  <si>
    <t>KIT4M05799709G5Q</t>
  </si>
  <si>
    <t>KIT4M05799732NQK</t>
  </si>
  <si>
    <t>KIT4M05799712SBX</t>
  </si>
  <si>
    <t>KIT4M05799694RW2</t>
  </si>
  <si>
    <t>KIT4M05799682BXX</t>
  </si>
  <si>
    <t>KIT4M05799668SS7</t>
  </si>
  <si>
    <t>KIT4M05799717WZV</t>
  </si>
  <si>
    <t>KIT4M05799678R5P</t>
  </si>
  <si>
    <t>KIT4M05799686CMX</t>
  </si>
  <si>
    <t>KIT4M05799676NNK</t>
  </si>
  <si>
    <t>KIT4M05799701SGS</t>
  </si>
  <si>
    <t>KIT4M05799705T6B</t>
  </si>
  <si>
    <t>KIT4M0579970825J</t>
  </si>
  <si>
    <t>KIT4M06491836Z2D</t>
  </si>
  <si>
    <t>KIT4M06491825PF9</t>
  </si>
  <si>
    <t>KIT4M064918154FM</t>
  </si>
  <si>
    <t>KIT4M064918346DB</t>
  </si>
  <si>
    <t>KIT4M06491814FV7</t>
  </si>
  <si>
    <t>KIT4M0649183125S</t>
  </si>
  <si>
    <t>KIT4M06491830G2J</t>
  </si>
  <si>
    <t>KIT4M06491804TBC</t>
  </si>
  <si>
    <t>KIT4M064918165MW</t>
  </si>
  <si>
    <t>KIT4M06491794MTJ</t>
  </si>
  <si>
    <t>KIT4M064918015Z2</t>
  </si>
  <si>
    <t>KIT4M06491813KGS</t>
  </si>
  <si>
    <t>KIT4M06491818QD2</t>
  </si>
  <si>
    <t>KIT4M06491821G25</t>
  </si>
  <si>
    <t>KIT4M06491826SQM</t>
  </si>
  <si>
    <t>KIT4M064917925MB</t>
  </si>
  <si>
    <t>KIT4M06491805F7Z</t>
  </si>
  <si>
    <t>KIT4M06491795MWG</t>
  </si>
  <si>
    <t>KIT4M06491833JGV</t>
  </si>
  <si>
    <t>KIT4M06491820X58</t>
  </si>
  <si>
    <t>KIT4M06491807TRH</t>
  </si>
  <si>
    <t>KIT4M06491828XWF</t>
  </si>
  <si>
    <t>KIT4M0649181062D</t>
  </si>
  <si>
    <t>KIT4M06491837DPX</t>
  </si>
  <si>
    <t>KIT4M06491802BZV</t>
  </si>
  <si>
    <t>KIT4M06491803672</t>
  </si>
  <si>
    <t>KIT4M064917914G5</t>
  </si>
  <si>
    <t>KIT4M06491829CD2</t>
  </si>
  <si>
    <t>KIT4M06491799CRP</t>
  </si>
  <si>
    <t>KIT4M06491798S8Q</t>
  </si>
  <si>
    <t>KIT4M06491786BS9</t>
  </si>
  <si>
    <t>KIT4M064918197VX</t>
  </si>
  <si>
    <t>KIT4M064918239TM</t>
  </si>
  <si>
    <t>KIT4M06491808P4F</t>
  </si>
  <si>
    <t>KIT4M064918068FF</t>
  </si>
  <si>
    <t>KIT4M06491835TD6</t>
  </si>
  <si>
    <t>KIT4M06491809ZR6</t>
  </si>
  <si>
    <t>KIT4M064918277QF</t>
  </si>
  <si>
    <t>KIT4M064917936NF</t>
  </si>
  <si>
    <t>KIT4M06491796QQN</t>
  </si>
  <si>
    <t>KIT4M06491800F52</t>
  </si>
  <si>
    <t>KIT4M06491789PJ6</t>
  </si>
  <si>
    <t>KIT4M06491797NCX</t>
  </si>
  <si>
    <t>KIT4M06491812JDV</t>
  </si>
  <si>
    <t>KIT4M06491790945</t>
  </si>
  <si>
    <t>KIT4M06491811JB5</t>
  </si>
  <si>
    <t>KIT4M06491822SF6</t>
  </si>
  <si>
    <t>KIT4M06491824JCK</t>
  </si>
  <si>
    <t>KIT4M064918322GZ</t>
  </si>
  <si>
    <t>KIT4M06491817T79</t>
  </si>
  <si>
    <t>KIT4P000832637V6</t>
  </si>
  <si>
    <t>KIT4P00084601T5F</t>
  </si>
  <si>
    <t>Bear Trap</t>
  </si>
  <si>
    <t>Andrew Thompson</t>
  </si>
  <si>
    <t>2026.BearTrap.ITSS@firenet.gov</t>
  </si>
  <si>
    <t>Grasshopper</t>
  </si>
  <si>
    <t xml:space="preserve">	KIT4P00066915CBF</t>
  </si>
  <si>
    <t>SINLAHEKIN</t>
  </si>
  <si>
    <t>Bill Mills</t>
  </si>
  <si>
    <t>Bill_Mills@firenet.gov</t>
  </si>
  <si>
    <t>CROOKED</t>
  </si>
  <si>
    <t>Teddi LaMoure</t>
  </si>
  <si>
    <t>idbdc_expanded@firenet.gov</t>
  </si>
  <si>
    <t>Starlink_Usage_2026-08-23_06-30.xlsx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</si>
</sst>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font>
      <sz val="11"/>
      <name val="Carlito"/>
    </font>
    <font>
      <sz val="11"/>
      <name val="Carlito"/>
    </font>
    <font>
      <sz val="8"/>
      <name val="Carlito"/>
    </font>
    <font>
      <u/>
      <sz val="11"/>
      <color theme="10"/>
      <name val="Carlito"/>
    </font>
    <font>
      <sz val="11"/>
      <color rgb="FF000000"/>
      <name val="Aptos Narrow"/>
      <family val="2"/>
    </font>
    <font>
      <b/>
      <sz val="18"/>
      <color theme="1"/>
      <name val="Carlito"/>
    </font>
    <font>
      <b/>
      <u/>
      <sz val="18"/>
      <color theme="1"/>
      <name val="Carlito"/>
    </font>
    <font>
      <sz val="12"/>
      <name val="Carlito"/>
    </font>
    <font>
      <sz val="11"/>
      <color rgb="FF000000"/>
      <name val="Calibri"/>
      <family val="2"/>
      <scheme val="minor"/>
    </font>
    <font>
      <sz val="11"/>
      <name val="Calibri"/>
      <family val="2"/>
      <scheme val="minor"/>
    </font>
    <font>
      <sz val="11"/>
      <color rgb="FF000000"/>
      <name val="Calibri"/>
      <family val="2"/>
    </font>
  </fonts>
  <fills count="3">
    <fill>
      <patternFill patternType="none"/>
    </fill>
    <fill>
      <patternFill patternType="gray125"/>
    </fill>
    <fill>
      <patternFill patternType="solid">
        <fgColor theme="0"/>
        <bgColor indexed="64"/>
      </patternFill>
    </fill>
  </fills>
  <borders count="11">
    <border>
      <left/>
      <right/>
      <top/>
      <bottom/>
      <diagonal/>
    </border>
    <border>
      <left/>
      <right/>
      <top/>
      <bottom/>
      <diagonal/>
    </border>
    <border>
      <left/>
      <right/>
      <top/>
      <bottom/>
      <diagonal/>
    </border>
    <border>
      <left style="thin">
        <color auto="1"/>
      </left>
      <right style="thin">
        <color auto="1"/>
      </right>
      <top style="thin">
        <color auto="1"/>
      </top>
      <bottom style="thin">
        <color auto="1"/>
      </bottom>
      <diagonal/>
    </border>
    <border>
      <left/>
      <right/>
      <top style="thin">
        <color auto="1"/>
      </top>
      <bottom/>
      <diagonal/>
    </border>
    <border>
      <left/>
      <right style="thin">
        <color auto="1"/>
      </right>
      <top style="thin">
        <color auto="1"/>
      </top>
      <bottom/>
      <diagonal/>
    </border>
    <border>
      <left/>
      <right style="thin">
        <color auto="1"/>
      </right>
      <top/>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
      <left style="thin">
        <color auto="1"/>
      </left>
      <right style="thin">
        <color auto="1"/>
      </right>
      <top style="thin">
        <color auto="1"/>
      </top>
      <bottom/>
      <diagonal/>
    </border>
  </borders>
  <cellStyleXfs count="3">
    <xf numFmtId="0" fontId="0" fillId="0" borderId="1"/>
    <xf numFmtId="9" fontId="1" fillId="0" borderId="0" applyFont="0" applyFill="0" applyBorder="0" applyAlignment="0" applyProtection="0"/>
    <xf numFmtId="0" fontId="3" fillId="0" borderId="1" applyNumberFormat="0" applyFill="0" applyBorder="0" applyAlignment="0" applyProtection="0"/>
  </cellStyleXfs>
  <cellXfs count="55">
    <xf numFmtId="0" fontId="0" fillId="0" borderId="0" xfId="0" applyBorder="1"/>
    <xf numFmtId="0" fontId="0" fillId="0" borderId="2" xfId="0" applyBorder="1"/>
    <xf numFmtId="0" fontId="0" fillId="0" borderId="2" xfId="0" applyBorder="1" applyAlignment="1">
      <alignment horizontal="center"/>
    </xf>
    <xf numFmtId="0" fontId="4" fillId="0" borderId="2" xfId="0" applyFont="1" applyBorder="1" applyAlignment="1">
      <alignment horizontal="center" vertical="center"/>
    </xf>
    <xf numFmtId="0" fontId="0" fillId="0" borderId="2" xfId="0" applyBorder="1" applyAlignment="1">
      <alignment horizontal="center" vertical="center"/>
    </xf>
    <xf numFmtId="0" fontId="0" fillId="0" borderId="0" xfId="0" applyBorder="1" applyAlignment="1">
      <alignment horizontal="center" vertical="center"/>
    </xf>
    <xf numFmtId="14" fontId="0" fillId="0" borderId="2" xfId="0" applyNumberFormat="1" applyBorder="1" applyAlignment="1">
      <alignment horizontal="center" vertical="center"/>
    </xf>
    <xf numFmtId="0" fontId="3" fillId="0" borderId="2" xfId="2" applyBorder="1" applyAlignment="1">
      <alignment horizontal="center" vertical="center"/>
    </xf>
    <xf numFmtId="2" fontId="0" fillId="0" borderId="2" xfId="0" applyNumberFormat="1" applyBorder="1" applyAlignment="1">
      <alignment horizontal="center" vertical="center"/>
    </xf>
    <xf numFmtId="9" fontId="0" fillId="0" borderId="2" xfId="1" applyFont="1" applyBorder="1" applyAlignment="1">
      <alignment horizontal="center" vertical="center"/>
    </xf>
    <xf numFmtId="9" fontId="0" fillId="0" borderId="0" xfId="1" applyFont="1" applyBorder="1" applyAlignment="1">
      <alignment horizontal="center" vertical="center"/>
    </xf>
    <xf numFmtId="0" fontId="0" fillId="0" borderId="4" xfId="0" applyBorder="1" applyAlignment="1">
      <alignment horizontal="center" vertical="center"/>
    </xf>
    <xf numFmtId="14" fontId="0" fillId="0" borderId="4" xfId="0" applyNumberFormat="1" applyBorder="1" applyAlignment="1">
      <alignment horizontal="center" vertical="center"/>
    </xf>
    <xf numFmtId="2" fontId="0" fillId="0" borderId="4" xfId="0" applyNumberFormat="1" applyBorder="1" applyAlignment="1">
      <alignment horizontal="center" vertical="center"/>
    </xf>
    <xf numFmtId="9" fontId="0" fillId="0" borderId="5" xfId="1" applyFont="1" applyBorder="1" applyAlignment="1">
      <alignment horizontal="center" vertical="center"/>
    </xf>
    <xf numFmtId="9" fontId="0" fillId="0" borderId="6" xfId="1" applyFont="1" applyBorder="1" applyAlignment="1">
      <alignment horizontal="center" vertical="center"/>
    </xf>
    <xf numFmtId="0" fontId="0" fillId="0" borderId="7" xfId="0" applyBorder="1" applyAlignment="1">
      <alignment horizontal="center" vertical="center"/>
    </xf>
    <xf numFmtId="0" fontId="0" fillId="0" borderId="8" xfId="0" applyBorder="1" applyAlignment="1">
      <alignment horizontal="center" vertical="center"/>
    </xf>
    <xf numFmtId="14" fontId="0" fillId="0" borderId="8" xfId="0" applyNumberFormat="1" applyBorder="1" applyAlignment="1">
      <alignment horizontal="center" vertical="center"/>
    </xf>
    <xf numFmtId="2" fontId="0" fillId="0" borderId="8" xfId="0" applyNumberFormat="1" applyBorder="1" applyAlignment="1">
      <alignment horizontal="center" vertical="center"/>
    </xf>
    <xf numFmtId="9" fontId="0" fillId="0" borderId="8" xfId="1" applyFont="1" applyBorder="1" applyAlignment="1">
      <alignment horizontal="center" vertical="center"/>
    </xf>
    <xf numFmtId="9" fontId="0" fillId="0" borderId="9" xfId="1" applyFont="1" applyBorder="1" applyAlignment="1">
      <alignment horizontal="center" vertical="center"/>
    </xf>
    <xf numFmtId="0" fontId="0" fillId="0" borderId="3" xfId="0" applyBorder="1" applyAlignment="1">
      <alignment horizontal="center" vertical="center"/>
    </xf>
    <xf numFmtId="4" fontId="0" fillId="0" borderId="3" xfId="0" applyNumberFormat="1" applyBorder="1" applyAlignment="1">
      <alignment horizontal="center" vertical="center"/>
    </xf>
    <xf numFmtId="2" fontId="0" fillId="0" borderId="3" xfId="0" applyNumberFormat="1" applyBorder="1" applyAlignment="1">
      <alignment horizontal="center" vertical="center"/>
    </xf>
    <xf numFmtId="0" fontId="0" fillId="0" borderId="3" xfId="1" applyNumberFormat="1" applyFont="1" applyBorder="1" applyAlignment="1">
      <alignment horizontal="center" vertical="center"/>
    </xf>
    <xf numFmtId="2" fontId="0" fillId="0" borderId="3" xfId="1" applyNumberFormat="1" applyFont="1" applyBorder="1" applyAlignment="1">
      <alignment horizontal="center" vertical="center"/>
    </xf>
    <xf numFmtId="9" fontId="0" fillId="0" borderId="3" xfId="1" applyFont="1" applyBorder="1" applyAlignment="1">
      <alignment horizontal="center" vertical="center"/>
    </xf>
    <xf numFmtId="0" fontId="7" fillId="0" borderId="2" xfId="0" applyFont="1" applyBorder="1" applyAlignment="1">
      <alignment horizontal="center" vertical="center"/>
    </xf>
    <xf numFmtId="9" fontId="7" fillId="0" borderId="2" xfId="1" applyFont="1" applyBorder="1" applyAlignment="1">
      <alignment horizontal="center" vertical="center"/>
    </xf>
    <xf numFmtId="0" fontId="8" fillId="0" borderId="2" xfId="0" applyFont="1" applyBorder="1" applyAlignment="1">
      <alignment horizontal="center"/>
    </xf>
    <xf numFmtId="14" fontId="7" fillId="0" borderId="2" xfId="0" applyNumberFormat="1" applyFont="1" applyBorder="1" applyAlignment="1">
      <alignment horizontal="center" vertical="center"/>
    </xf>
    <xf numFmtId="14" fontId="0" fillId="0" borderId="2" xfId="0" applyNumberFormat="1" applyBorder="1"/>
    <xf numFmtId="0" fontId="9" fillId="0" borderId="2" xfId="0" applyFont="1" applyBorder="1" applyAlignment="1">
      <alignment horizontal="center" vertical="center"/>
    </xf>
    <xf numFmtId="0" fontId="9" fillId="0" borderId="2" xfId="0" applyFont="1" applyBorder="1"/>
    <xf numFmtId="0" fontId="8" fillId="0" borderId="2" xfId="0" applyFont="1" applyBorder="1" applyAlignment="1">
      <alignment horizontal="center" vertical="center"/>
    </xf>
    <xf numFmtId="0" fontId="9" fillId="0" borderId="2" xfId="0" applyFont="1" applyBorder="1" applyAlignment="1">
      <alignment horizontal="center"/>
    </xf>
    <xf numFmtId="14" fontId="9" fillId="0" borderId="2" xfId="0" applyNumberFormat="1" applyFont="1" applyBorder="1" applyAlignment="1">
      <alignment horizontal="center" vertical="center"/>
    </xf>
    <xf numFmtId="0" fontId="9" fillId="0" borderId="2" xfId="0" applyFont="1" applyBorder="1" applyAlignment="1">
      <alignment horizontal="center" vertical="center" wrapText="1"/>
    </xf>
    <xf numFmtId="14" fontId="8" fillId="0" borderId="2" xfId="0" applyNumberFormat="1" applyFont="1" applyBorder="1" applyAlignment="1">
      <alignment horizontal="center" vertical="center"/>
    </xf>
    <xf numFmtId="14" fontId="0" fillId="0" borderId="3" xfId="0" applyNumberFormat="1" applyBorder="1" applyAlignment="1">
      <alignment horizontal="center" vertical="center"/>
    </xf>
    <xf numFmtId="0" fontId="9" fillId="0" borderId="2" xfId="0" applyFont="1" applyBorder="1" applyAlignment="1">
      <alignment horizontal="center" wrapText="1"/>
    </xf>
    <xf numFmtId="22" fontId="0" fillId="0" borderId="2" xfId="0" applyNumberFormat="1" applyBorder="1"/>
    <xf numFmtId="0" fontId="9" fillId="0" borderId="0" xfId="0" applyFont="1" applyBorder="1" applyAlignment="1">
      <alignment horizontal="center" vertical="center"/>
    </xf>
    <xf numFmtId="14" fontId="9" fillId="0" borderId="0" xfId="0" applyNumberFormat="1" applyFont="1" applyBorder="1" applyAlignment="1">
      <alignment horizontal="center" vertical="center"/>
    </xf>
    <xf numFmtId="0" fontId="8" fillId="0" borderId="0" xfId="0" applyFont="1" applyBorder="1" applyAlignment="1">
      <alignment horizontal="center" vertical="center"/>
    </xf>
    <xf numFmtId="0" fontId="3" fillId="0" borderId="0" xfId="2" applyBorder="1" applyAlignment="1">
      <alignment horizontal="center" vertical="center" wrapText="1"/>
    </xf>
    <xf numFmtId="0" fontId="9" fillId="0" borderId="2" xfId="0" applyFont="1" applyBorder="1" applyAlignment="1">
      <alignment horizontal="left" vertical="center"/>
    </xf>
    <xf numFmtId="0" fontId="10" fillId="0" borderId="2" xfId="0" applyFont="1" applyBorder="1" applyAlignment="1">
      <alignment horizontal="left"/>
    </xf>
    <xf numFmtId="0" fontId="8" fillId="0" borderId="2" xfId="0" applyFont="1" applyBorder="1" applyAlignment="1">
      <alignment horizontal="left" vertical="center"/>
    </xf>
    <xf numFmtId="0" fontId="8" fillId="0" borderId="3" xfId="0" applyFont="1" applyBorder="1" applyAlignment="1">
      <alignment horizontal="left" vertical="center"/>
    </xf>
    <xf numFmtId="0" fontId="8" fillId="0" borderId="10" xfId="0" applyFont="1" applyBorder="1" applyAlignment="1">
      <alignment horizontal="left" vertical="center"/>
    </xf>
    <xf numFmtId="0" fontId="9" fillId="0" borderId="0" xfId="0" applyFont="1" applyBorder="1" applyAlignment="1">
      <alignment horizontal="center" vertical="center" wrapText="1"/>
    </xf>
    <xf numFmtId="0" fontId="6" fillId="2" borderId="2" xfId="0" applyFont="1" applyFill="1" applyBorder="1" applyAlignment="1">
      <alignment horizontal="center" vertical="center"/>
    </xf>
    <xf numFmtId="0" fontId="5" fillId="2" borderId="2" xfId="0" applyFont="1" applyFill="1" applyBorder="1" applyAlignment="1">
      <alignment horizontal="center" vertical="center"/>
    </xf>
  </cellXfs>
  <cellStyles count="3">
    <cellStyle name="Hyperlink" xfId="2" builtinId="8"/>
    <cellStyle name="Normal" xfId="0" builtinId="0"/>
    <cellStyle name="Percent" xfId="1" builtinId="5"/>
  </cellStyles>
  <dxfs count="41">
    <dxf>
      <numFmt numFmtId="0" formatCode="General"/>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font>
        <b val="0"/>
        <i val="0"/>
        <strike val="0"/>
        <condense val="0"/>
        <extend val="0"/>
        <outline val="0"/>
        <shadow val="0"/>
        <u val="none"/>
        <vertAlign val="baseline"/>
        <sz val="11"/>
        <color auto="1"/>
        <name val="Carlito"/>
        <scheme val="none"/>
      </font>
      <alignment horizontal="center" vertical="center" textRotation="0" wrapText="0" indent="0" justifyLastLine="0" shrinkToFit="0" readingOrder="0"/>
    </dxf>
    <dxf>
      <font>
        <b val="0"/>
        <i val="0"/>
        <strike val="0"/>
        <condense val="0"/>
        <extend val="0"/>
        <outline val="0"/>
        <shadow val="0"/>
        <u val="none"/>
        <vertAlign val="baseline"/>
        <sz val="11"/>
        <color auto="1"/>
        <name val="Carlito"/>
        <scheme val="none"/>
      </font>
      <numFmt numFmtId="13" formatCode="0%"/>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0" formatCode="General"/>
    </dxf>
    <dxf>
      <numFmt numFmtId="19" formatCode="m/d/yyyy"/>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numFmt numFmtId="19" formatCode="m/d/yyyy"/>
    </dxf>
    <dxf>
      <numFmt numFmtId="19" formatCode="m/d/yyyy"/>
      <alignment horizontal="center" vertical="center" textRotation="0" wrapText="0" indent="0" justifyLastLine="0" shrinkToFit="0" readingOrder="0"/>
    </dxf>
    <dxf>
      <numFmt numFmtId="19" formatCode="m/d/yyyy"/>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fill>
        <patternFill>
          <bgColor rgb="FFFF0000"/>
        </patternFill>
      </fill>
    </dxf>
    <dxf>
      <fill>
        <patternFill>
          <bgColor theme="9"/>
        </patternFill>
      </fill>
    </dxf>
    <dxf>
      <fill>
        <patternFill>
          <bgColor rgb="FFFF0000"/>
        </patternFill>
      </fill>
    </dxf>
    <dxf>
      <fill>
        <patternFill>
          <bgColor rgb="FFFFFF00"/>
        </patternFill>
      </fill>
    </dxf>
    <dxf>
      <numFmt numFmtId="27" formatCode="m/d/yyyy\ h:mm"/>
    </dxf>
    <dxf>
      <numFmt numFmtId="0" formatCode="General"/>
    </dxf>
    <dxf>
      <alignment horizontal="center" vertical="center" textRotation="0" wrapText="0" indent="0" justifyLastLine="0" shrinkToFit="0" readingOrder="0"/>
    </dxf>
    <dxf>
      <alignment horizontal="center" vertical="center" textRotation="0" wrapText="0" indent="0" justifyLastLine="0" shrinkToFit="0" readingOrder="0"/>
    </dxf>
    <dxf>
      <font>
        <strike val="0"/>
        <outline val="0"/>
        <shadow val="0"/>
        <u val="none"/>
        <vertAlign val="baseline"/>
        <sz val="11"/>
        <name val="Calibri"/>
        <family val="2"/>
        <scheme val="minor"/>
      </font>
      <alignment horizontal="center" vertical="center" textRotation="0" wrapText="0" indent="0" justifyLastLine="0" shrinkToFit="0" readingOrder="0"/>
    </dxf>
    <dxf>
      <font>
        <strike val="0"/>
        <outline val="0"/>
        <shadow val="0"/>
        <u val="none"/>
        <vertAlign val="baseline"/>
        <sz val="11"/>
        <name val="Calibri"/>
        <family val="2"/>
        <scheme val="minor"/>
      </font>
      <alignment horizontal="center" vertical="center" textRotation="0" indent="0" justifyLastLine="0" shrinkToFit="0" readingOrder="0"/>
    </dxf>
    <dxf>
      <font>
        <strike val="0"/>
        <outline val="0"/>
        <shadow val="0"/>
        <u val="none"/>
        <vertAlign val="baseline"/>
        <sz val="11"/>
        <name val="Calibri"/>
        <family val="2"/>
        <scheme val="minor"/>
      </font>
      <alignment horizontal="center" vertical="center" textRotation="0" indent="0" justifyLastLine="0" shrinkToFit="0" readingOrder="0"/>
    </dxf>
    <dxf>
      <font>
        <strike val="0"/>
        <outline val="0"/>
        <shadow val="0"/>
        <u val="none"/>
        <vertAlign val="baseline"/>
        <sz val="11"/>
        <name val="Calibri"/>
        <family val="2"/>
        <scheme val="minor"/>
      </font>
      <alignment horizontal="center" vertical="center" textRotation="0" indent="0" justifyLastLine="0" shrinkToFit="0" readingOrder="0"/>
    </dxf>
    <dxf>
      <font>
        <strike val="0"/>
        <outline val="0"/>
        <shadow val="0"/>
        <u val="none"/>
        <vertAlign val="baseline"/>
        <sz val="11"/>
        <name val="Calibri"/>
        <family val="2"/>
        <scheme val="minor"/>
      </font>
      <alignment horizontal="center" vertical="center" textRotation="0" wrapText="0" indent="0" justifyLastLine="0" shrinkToFit="0" readingOrder="0"/>
    </dxf>
    <dxf>
      <font>
        <strike val="0"/>
        <outline val="0"/>
        <shadow val="0"/>
        <u val="none"/>
        <vertAlign val="baseline"/>
        <sz val="11"/>
        <name val="Calibri"/>
        <family val="2"/>
        <scheme val="minor"/>
      </font>
      <alignment horizontal="center" vertical="center" textRotation="0" indent="0" justifyLastLine="0" shrinkToFit="0" readingOrder="0"/>
    </dxf>
    <dxf>
      <font>
        <strike val="0"/>
        <outline val="0"/>
        <shadow val="0"/>
        <u val="none"/>
        <vertAlign val="baseline"/>
        <sz val="11"/>
        <name val="Calibri"/>
        <family val="2"/>
        <scheme val="minor"/>
      </font>
      <alignment horizontal="center" vertical="center" textRotation="0" indent="0" justifyLastLine="0" shrinkToFit="0" readingOrder="0"/>
    </dxf>
    <dxf>
      <font>
        <strike val="0"/>
        <outline val="0"/>
        <shadow val="0"/>
        <u val="none"/>
        <vertAlign val="baseline"/>
        <sz val="11"/>
        <name val="Calibri"/>
        <family val="2"/>
        <scheme val="minor"/>
      </font>
      <alignment horizontal="center" vertical="center" textRotation="0" indent="0" justifyLastLine="0" shrinkToFit="0" readingOrder="0"/>
    </dxf>
    <dxf>
      <font>
        <strike val="0"/>
        <outline val="0"/>
        <shadow val="0"/>
        <u val="none"/>
        <vertAlign val="baseline"/>
        <sz val="11"/>
        <name val="Calibri"/>
        <family val="2"/>
        <scheme val="minor"/>
      </font>
      <alignment horizontal="center" vertical="center" textRotation="0" wrapText="0" indent="0" justifyLastLine="0" shrinkToFit="0" readingOrder="0"/>
    </dxf>
    <dxf>
      <font>
        <strike val="0"/>
        <outline val="0"/>
        <shadow val="0"/>
        <u val="none"/>
        <vertAlign val="baseline"/>
        <sz val="11"/>
        <name val="Calibri"/>
        <family val="2"/>
        <scheme val="minor"/>
      </font>
      <alignment horizontal="left" vertical="center" textRotation="0" wrapText="0" indent="0" justifyLastLine="0" shrinkToFit="0" readingOrder="0"/>
    </dxf>
    <dxf>
      <font>
        <strike val="0"/>
        <outline val="0"/>
        <shadow val="0"/>
        <u val="none"/>
        <vertAlign val="baseline"/>
        <sz val="11"/>
        <name val="Calibri"/>
        <family val="2"/>
        <scheme val="minor"/>
      </font>
      <alignment horizontal="center" vertical="center" textRotation="0" indent="0" justifyLastLine="0" shrinkToFit="0" readingOrder="0"/>
    </dxf>
    <dxf>
      <font>
        <strike val="0"/>
        <outline val="0"/>
        <shadow val="0"/>
        <u val="none"/>
        <vertAlign val="baseline"/>
        <sz val="11"/>
        <name val="Calibri"/>
        <family val="2"/>
        <scheme val="minor"/>
      </font>
      <alignment horizontal="center" vertical="center" textRotation="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13" Type="http://schemas.openxmlformats.org/officeDocument/2006/relationships/customXml" Target="../customXml/item4.xml"/><Relationship Id="rId3" Type="http://schemas.microsoft.com/office/2007/relationships/slicerCache" Target="slicerCaches/slicerCache1.xml"/><Relationship Id="rId7" Type="http://schemas.openxmlformats.org/officeDocument/2006/relationships/sharedStrings" Target="sharedStrings.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2.xml"/><Relationship Id="rId5" Type="http://schemas.openxmlformats.org/officeDocument/2006/relationships/connections" Target="connections.xml"/><Relationship Id="rId10" Type="http://schemas.openxmlformats.org/officeDocument/2006/relationships/customXml" Target="../customXml/item1.xml"/><Relationship Id="rId4" Type="http://schemas.openxmlformats.org/officeDocument/2006/relationships/theme" Target="theme/theme1.xml"/><Relationship Id="rId9" Type="http://schemas.openxmlformats.org/officeDocument/2006/relationships/calcChain" Target="calcChain.xml"/><Relationship Id="rId14" Type="http://schemas.openxmlformats.org/officeDocument/2006/relationships/customXml" Target="../customXml/item5.xml"/></Relationships>
</file>

<file path=xl/drawings/drawing1.xml><?xml version="1.0" encoding="utf-8"?>
<xdr:wsDr xmlns:xdr="http://schemas.openxmlformats.org/drawingml/2006/spreadsheetDrawing" xmlns:a="http://schemas.openxmlformats.org/drawingml/2006/main">
  <xdr:twoCellAnchor editAs="absolute">
    <xdr:from>
      <xdr:col>11</xdr:col>
      <xdr:colOff>68229</xdr:colOff>
      <xdr:row>849</xdr:row>
      <xdr:rowOff>180585</xdr:rowOff>
    </xdr:from>
    <xdr:to>
      <xdr:col>14</xdr:col>
      <xdr:colOff>174948</xdr:colOff>
      <xdr:row>889</xdr:row>
      <xdr:rowOff>122659</xdr:rowOff>
    </xdr:to>
    <mc:AlternateContent xmlns:mc="http://schemas.openxmlformats.org/markup-compatibility/2006" xmlns:sle15="http://schemas.microsoft.com/office/drawing/2012/slicer">
      <mc:Choice Requires="sle15">
        <xdr:graphicFrame macro="">
          <xdr:nvGraphicFramePr>
            <xdr:cNvPr id="2" name="Client">
              <a:extLst>
                <a:ext uri="{FF2B5EF4-FFF2-40B4-BE49-F238E27FC236}">
                  <a16:creationId xmlns:a16="http://schemas.microsoft.com/office/drawing/2014/main" id="{857111AC-7D96-FB6B-58A4-5946183C9A42}"/>
                </a:ext>
              </a:extLst>
            </xdr:cNvPr>
            <xdr:cNvGraphicFramePr/>
          </xdr:nvGraphicFramePr>
          <xdr:xfrm>
            <a:off x="0" y="0"/>
            <a:ext cx="0" cy="0"/>
          </xdr:xfrm>
          <a:graphic>
            <a:graphicData uri="http://schemas.microsoft.com/office/drawing/2010/slicer">
              <sle:slicer xmlns:sle="http://schemas.microsoft.com/office/drawing/2010/slicer" name="Client"/>
            </a:graphicData>
          </a:graphic>
        </xdr:graphicFrame>
      </mc:Choice>
      <mc:Fallback xmlns="">
        <xdr:sp macro="" textlink="">
          <xdr:nvSpPr>
            <xdr:cNvPr id="0" name=""/>
            <xdr:cNvSpPr>
              <a:spLocks noTextEdit="1"/>
            </xdr:cNvSpPr>
          </xdr:nvSpPr>
          <xdr:spPr>
            <a:xfrm>
              <a:off x="18447591" y="1232029"/>
              <a:ext cx="2176949" cy="7709808"/>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refreshOnLoad="1" adjustColumnWidth="0" connectionId="5" xr16:uid="{AEB76905-ECE5-4E69-9A79-25616F1DF58B}" autoFormatId="16" applyNumberFormats="0" applyBorderFormats="0" applyFontFormats="0" applyPatternFormats="0" applyAlignmentFormats="0" applyWidthHeightFormats="0">
  <queryTableRefresh nextId="42" unboundColumnsRight="5">
    <queryTableFields count="22">
      <queryTableField id="1" name="Kit" tableColumnId="1"/>
      <queryTableField id="27" name="Ecode" tableColumnId="4"/>
      <queryTableField id="2" name="Client" tableColumnId="2"/>
      <queryTableField id="28" name="ITSS Contact" tableColumnId="20"/>
      <queryTableField id="15" name="Contact Email" tableColumnId="13"/>
      <queryTableField id="3" name="Order Number" tableColumnId="3"/>
      <queryTableField id="25" name="Billing Start Date" tableColumnId="19"/>
      <queryTableField id="17" name="Cycle Start" tableColumnId="15"/>
      <queryTableField id="33" name="Next Cycle Date" tableColumnId="21"/>
      <queryTableField id="37" name="Days Until Reset" tableColumnId="23"/>
      <queryTableField id="5" name="Monthly Allowance" tableColumnId="5"/>
      <queryTableField id="16" name="Alerts Enabled" tableColumnId="14"/>
      <queryTableField id="6" name="Status" tableColumnId="6"/>
      <queryTableField id="18" name="Baseline Date" tableColumnId="16"/>
      <queryTableField id="40" name="Plan Amount" tableColumnId="18"/>
      <queryTableField id="7" name="Data Usage (GB)" tableColumnId="7"/>
      <queryTableField id="23" name="Current Usage" tableColumnId="17"/>
      <queryTableField id="8" dataBound="0" tableColumnId="8"/>
      <queryTableField id="9" dataBound="0" tableColumnId="9"/>
      <queryTableField id="10" dataBound="0" tableColumnId="10"/>
      <queryTableField id="11" dataBound="0" tableColumnId="11"/>
      <queryTableField id="12" dataBound="0" tableColumnId="12"/>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2" connectionId="8" xr16:uid="{BD062013-B88E-4413-A280-A6C414502C88}" autoFormatId="16" applyNumberFormats="0" applyBorderFormats="0" applyFontFormats="0" applyPatternFormats="0" applyAlignmentFormats="0" applyWidthHeightFormats="0">
  <queryTableRefresh nextId="5">
    <queryTableFields count="2">
      <queryTableField id="3" name="Report Name" tableColumnId="1"/>
      <queryTableField id="4" name="Report Date" tableColumnId="2"/>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lient" xr10:uid="{F751CE18-EB25-4078-9DD2-F15FD9449054}" sourceName="Client">
  <extLst>
    <x:ext xmlns:x15="http://schemas.microsoft.com/office/spreadsheetml/2010/11/main" uri="{2F2917AC-EB37-4324-AD4E-5DD8C200BD13}">
      <x15:tableSlicerCache tableId="3" column="2"/>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lient" xr10:uid="{7B54DE3A-0452-48EC-91E0-B43EA37A90E5}" cache="Slicer_Client" caption="Client" rowHeight="2413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C436296-7600-4797-B70E-0F2C5135A07C}" name="Dashboard_Query" displayName="Dashboard_Query" ref="A9:V378" tableType="queryTable" totalsRowShown="0" headerRowDxfId="28" dataDxfId="27">
  <autoFilter ref="A9:V378" xr:uid="{0C436296-7600-4797-B70E-0F2C5135A07C}">
    <filterColumn colId="12">
      <filters>
        <filter val="Active"/>
      </filters>
    </filterColumn>
  </autoFilter>
  <sortState xmlns:xlrd2="http://schemas.microsoft.com/office/spreadsheetml/2017/richdata2" ref="A10:V378">
    <sortCondition descending="1" ref="S9:S378"/>
  </sortState>
  <tableColumns count="22">
    <tableColumn id="1" xr3:uid="{55A3A0AD-1EAE-4190-AB75-FA899F0CEE14}" uniqueName="1" name="Kit" queryTableFieldId="1" dataDxfId="20"/>
    <tableColumn id="4" xr3:uid="{78E72899-14F2-4002-8C99-5A3ECE7DE834}" uniqueName="4" name="Ecode" queryTableFieldId="27" dataDxfId="19"/>
    <tableColumn id="2" xr3:uid="{CC155CE0-F552-4E56-B0EE-117A25C32514}" uniqueName="2" name="Client" queryTableFieldId="2" dataDxfId="18"/>
    <tableColumn id="20" xr3:uid="{0D15D32B-1FE0-49A0-AC89-024CA5BA7AEE}" uniqueName="20" name="ITSS Contact" queryTableFieldId="28" dataDxfId="17"/>
    <tableColumn id="13" xr3:uid="{A917BE2E-FDCC-4700-B964-EFDD0E2CB0AD}" uniqueName="13" name="Contact Email" queryTableFieldId="15" dataDxfId="16"/>
    <tableColumn id="3" xr3:uid="{DEEC4DAA-BF3F-4009-8243-E27228822C2B}" uniqueName="3" name="Order Number" queryTableFieldId="3" dataDxfId="15"/>
    <tableColumn id="19" xr3:uid="{B519F726-2924-4E4F-9D37-4A3CB8F133A5}" uniqueName="19" name="Billing Start Date" queryTableFieldId="25" dataDxfId="14"/>
    <tableColumn id="15" xr3:uid="{D54CFD64-A403-4B77-977B-F87EDD41D1D8}" uniqueName="15" name="Cycle Start" queryTableFieldId="17" dataDxfId="13"/>
    <tableColumn id="21" xr3:uid="{3BD20A17-B775-4575-9BFE-96707260B497}" uniqueName="21" name="Next Cycle Date" queryTableFieldId="33" dataDxfId="12"/>
    <tableColumn id="23" xr3:uid="{3DD7D1A9-C04B-4109-9A92-169E0CBB5C31}" uniqueName="23" name="Days Until Reset" queryTableFieldId="37"/>
    <tableColumn id="5" xr3:uid="{326E7D3E-E7F8-4C54-A520-BCAA47F84579}" uniqueName="5" name="Monthly Allowance" queryTableFieldId="5" dataDxfId="11"/>
    <tableColumn id="14" xr3:uid="{1B925EF6-8DCA-4676-B826-7B0CAE94378B}" uniqueName="14" name="Alerts Enabled" queryTableFieldId="16" dataDxfId="10"/>
    <tableColumn id="6" xr3:uid="{FDA902A6-DA08-4DDD-AD7E-58A8A2E2D3D6}" uniqueName="6" name="Status" queryTableFieldId="6" dataDxfId="9"/>
    <tableColumn id="16" xr3:uid="{30747AF3-4CF5-4843-B6A1-F0AF15F89A50}" uniqueName="16" name="Baseline Date" queryTableFieldId="18" dataDxfId="8"/>
    <tableColumn id="18" xr3:uid="{DF69EE88-AD8A-43AC-A376-64DA33CF0491}" uniqueName="18" name="Plan Amount" queryTableFieldId="40" dataDxfId="7"/>
    <tableColumn id="7" xr3:uid="{F2110A65-143F-448D-8592-3CCC02B450EE}" uniqueName="7" name="Data Usage (GB)" queryTableFieldId="7" dataDxfId="6"/>
    <tableColumn id="17" xr3:uid="{7158D03D-0272-4C6D-ADEE-FD55645D527E}" uniqueName="17" name="Current Usage" queryTableFieldId="23" dataDxfId="5"/>
    <tableColumn id="8" xr3:uid="{2663C68F-D63C-4BB4-BB55-0C5FD598037A}" uniqueName="8" name="GB Remaining" queryTableFieldId="8" dataDxfId="4">
      <calculatedColumnFormula>IF(
    OR(Dashboard_Query[[#This Row],[Monthly Allowance]]="",Dashboard_Query[[#This Row],[Current Usage]]=""),
    "",
    MAX(0,Dashboard_Query[[#This Row],[Monthly Allowance]]-Dashboard_Query[[#This Row],[Current Usage]])
)</calculatedColumnFormula>
    </tableColumn>
    <tableColumn id="9" xr3:uid="{0C5AC04A-6AC2-439E-BF61-D68331305EEA}" uniqueName="9" name="% Used" queryTableFieldId="9" dataDxfId="3" dataCellStyle="Percent">
      <calculatedColumnFormula>IF(OR(Dashboard_Query[[#This Row],[Monthly Allowance]]="",Dashboard_Query[[#This Row],[Current Usage]]=""),"",Dashboard_Query[[#This Row],[Current Usage]]/Dashboard_Query[[#This Row],[Monthly Allowance]])</calculatedColumnFormula>
    </tableColumn>
    <tableColumn id="10" xr3:uid="{F8DDCB18-ACE9-48F5-9675-972405B00695}" uniqueName="10" name="%Remaining" queryTableFieldId="10" dataDxfId="2" dataCellStyle="Percent">
      <calculatedColumnFormula>IF(Dashboard_Query[[#This Row],[% Used]]="","",1-Dashboard_Query[[#This Row],[% Used]])</calculatedColumnFormula>
    </tableColumn>
    <tableColumn id="11" xr3:uid="{874CD7EF-8362-4027-B6D3-12946BAEB3FF}" uniqueName="11" name="Overage" queryTableFieldId="11" dataDxfId="1">
      <calculatedColumnFormula>IF(OR(Dashboard_Query[[#This Row],[Monthly Allowance]]="",Dashboard_Query[[#This Row],[Current Usage]]=""),"",MAX(0,Dashboard_Query[[#This Row],[Current Usage]]-Dashboard_Query[[#This Row],[Monthly Allowance]]))</calculatedColumnFormula>
    </tableColumn>
    <tableColumn id="12" xr3:uid="{FC712D0C-1596-4B1B-BD4B-C865D719F746}" uniqueName="12" name="Biling Status" queryTableFieldId="12" dataDxfId="0">
      <calculatedColumnFormula>IF(Dashboard_Query[[#This Row],[Monthly Allowance]]="","",IF(Dashboard_Query[[#This Row],[Overage]]&gt;0,"OVER",IF(Dashboard_Query[[#This Row],[% Used]]&gt;=0.8,"WARNING","OK")))</calculatedColumnFormula>
    </tableColumn>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6BCC22D-28EC-4ADD-9D57-051F2EA65219}" name="Report_Date" displayName="Report_Date" ref="Z1:AA2" tableType="queryTable" totalsRowShown="0">
  <autoFilter ref="Z1:AA2" xr:uid="{D6BCC22D-28EC-4ADD-9D57-051F2EA65219}"/>
  <tableColumns count="2">
    <tableColumn id="1" xr3:uid="{9F7D38CF-1310-4C65-81E7-728CF19742C9}" uniqueName="1" name="Report Name" queryTableFieldId="3" dataDxfId="26"/>
    <tableColumn id="2" xr3:uid="{7312E981-FBA6-4F47-9284-E9172C7BE5A0}" uniqueName="2" name="Report Date" queryTableFieldId="4" dataDxfId="25"/>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567434B5-2257-4C8E-BBBF-65EA3B112AF6}" name="Orders" displayName="Orders" ref="A1:J370" totalsRowShown="0" headerRowDxfId="40" dataDxfId="39">
  <autoFilter ref="A1:J370" xr:uid="{567434B5-2257-4C8E-BBBF-65EA3B112AF6}"/>
  <sortState xmlns:xlrd2="http://schemas.microsoft.com/office/spreadsheetml/2017/richdata2" ref="A2:J370">
    <sortCondition ref="F2:F370"/>
    <sortCondition ref="B2:B370"/>
  </sortState>
  <tableColumns count="10">
    <tableColumn id="1" xr3:uid="{9E9D361A-1B92-4244-BBAE-4113F127387A}" name="Kit" dataDxfId="38"/>
    <tableColumn id="10" xr3:uid="{C62FC310-4ED9-496E-9478-8FD6328C3C02}" name="Ecode" dataDxfId="37"/>
    <tableColumn id="2" xr3:uid="{169C5831-EFF9-4DBE-BD79-7358C4F36DBB}" name="Client" dataDxfId="36"/>
    <tableColumn id="9" xr3:uid="{8E5725F8-292B-477A-9BB5-2B9E3DF453A7}" name="ITSS Contact" dataDxfId="35"/>
    <tableColumn id="7" xr3:uid="{E1A6EE57-7D42-46CF-AE06-F753A58A8624}" name="Contact Email" dataDxfId="34"/>
    <tableColumn id="3" xr3:uid="{ECF77B7D-E867-4D09-9D89-AEC7055D71B3}" name="Order Number" dataDxfId="33"/>
    <tableColumn id="4" xr3:uid="{EA5F898C-916E-4B6B-8B6B-D031E74B81B6}" name="Billing Start Date" dataDxfId="32"/>
    <tableColumn id="5" xr3:uid="{7A85B0FF-2739-4450-A595-6575ED2FBE60}" name="Monthly Allowance" dataDxfId="31"/>
    <tableColumn id="6" xr3:uid="{96B4793F-3276-4740-A44D-DC1049D7A238}" name="Status" dataDxfId="30"/>
    <tableColumn id="8" xr3:uid="{CC8201B6-554F-42AC-9DB0-7B6E96ACE07B}" name="Alerts Enabled" dataDxfId="29"/>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microsoft.com/office/2007/relationships/slicer" Target="../slicers/slicer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70CE52-8D23-42E9-9041-191EDF951852}">
  <sheetPr>
    <tabColor theme="9"/>
  </sheetPr>
  <dimension ref="A1:AC381"/>
  <sheetViews>
    <sheetView topLeftCell="A280" zoomScaleNormal="100" workbookViewId="0">
      <selection activeCell="F291" sqref="F291"/>
    </sheetView>
  </sheetViews>
  <sheetFormatPr defaultColWidth="8.875" defaultRowHeight="14.25"/>
  <cols>
    <col min="1" max="1" width="21" style="5" bestFit="1" customWidth="1"/>
    <col min="2" max="2" width="20.5" style="5" customWidth="1"/>
    <col min="3" max="3" width="27.625" style="5" bestFit="1" customWidth="1"/>
    <col min="4" max="4" width="16.5" style="5" bestFit="1" customWidth="1"/>
    <col min="5" max="5" width="32.5" style="5" customWidth="1"/>
    <col min="6" max="6" width="18.125" style="5" bestFit="1" customWidth="1"/>
    <col min="7" max="7" width="20.5" style="5" bestFit="1" customWidth="1"/>
    <col min="8" max="8" width="12.125" style="4" hidden="1" customWidth="1"/>
    <col min="9" max="9" width="17.5" style="6" bestFit="1" customWidth="1"/>
    <col min="10" max="10" width="23.125" style="4" customWidth="1"/>
    <col min="11" max="11" width="23.625" style="4" customWidth="1"/>
    <col min="12" max="12" width="16.875" style="4" hidden="1" customWidth="1"/>
    <col min="13" max="13" width="10.625" style="8" hidden="1" customWidth="1"/>
    <col min="14" max="14" width="13" style="8" hidden="1" customWidth="1"/>
    <col min="15" max="15" width="14.125" style="8" hidden="1" customWidth="1"/>
    <col min="16" max="16" width="8.125" style="8" hidden="1" customWidth="1"/>
    <col min="17" max="17" width="18.5" style="8" customWidth="1"/>
    <col min="18" max="18" width="22.125" style="8" customWidth="1"/>
    <col min="19" max="19" width="18.125" style="8" bestFit="1" customWidth="1"/>
    <col min="20" max="20" width="23" style="4" customWidth="1"/>
    <col min="21" max="21" width="16" style="5" bestFit="1" customWidth="1"/>
    <col min="22" max="22" width="21" style="10" customWidth="1"/>
    <col min="23" max="23" width="16.5" style="10" bestFit="1" customWidth="1"/>
    <col min="24" max="24" width="14.125" style="5" bestFit="1" customWidth="1"/>
    <col min="25" max="25" width="14.125" bestFit="1" customWidth="1"/>
    <col min="26" max="26" width="33.375" style="1" bestFit="1" customWidth="1"/>
    <col min="27" max="27" width="13.625" style="1" bestFit="1" customWidth="1"/>
    <col min="28" max="28" width="28.25" bestFit="1" customWidth="1"/>
    <col min="29" max="29" width="25.125" bestFit="1" customWidth="1"/>
  </cols>
  <sheetData>
    <row r="1" spans="1:29" s="1" customFormat="1">
      <c r="A1" s="53" t="s">
        <v>0</v>
      </c>
      <c r="B1" s="54"/>
      <c r="C1" s="54"/>
      <c r="D1" s="54"/>
      <c r="E1" s="54"/>
      <c r="F1" s="54"/>
      <c r="G1" s="54"/>
      <c r="H1" s="54"/>
      <c r="I1" s="54"/>
      <c r="J1" s="54"/>
      <c r="K1" s="54"/>
      <c r="L1" s="54"/>
      <c r="M1" s="54"/>
      <c r="N1" s="54"/>
      <c r="O1" s="54"/>
      <c r="P1" s="54"/>
      <c r="Q1" s="54"/>
      <c r="R1" s="54"/>
      <c r="S1" s="54"/>
      <c r="T1" s="54"/>
      <c r="U1" s="54"/>
      <c r="V1" s="54"/>
      <c r="W1" s="54"/>
      <c r="X1" s="54"/>
      <c r="Y1" s="2"/>
      <c r="Z1" s="1" t="s">
        <v>1</v>
      </c>
      <c r="AA1" s="1" t="s">
        <v>2</v>
      </c>
    </row>
    <row r="2" spans="1:29" s="1" customFormat="1">
      <c r="A2" s="54"/>
      <c r="B2" s="54"/>
      <c r="C2" s="54"/>
      <c r="D2" s="54"/>
      <c r="E2" s="54"/>
      <c r="F2" s="54"/>
      <c r="G2" s="54"/>
      <c r="H2" s="54"/>
      <c r="I2" s="54"/>
      <c r="J2" s="54"/>
      <c r="K2" s="54"/>
      <c r="L2" s="54"/>
      <c r="M2" s="54"/>
      <c r="N2" s="54"/>
      <c r="O2" s="54"/>
      <c r="P2" s="54"/>
      <c r="Q2" s="54"/>
      <c r="R2" s="54"/>
      <c r="S2" s="54"/>
      <c r="T2" s="54"/>
      <c r="U2" s="54"/>
      <c r="V2" s="54"/>
      <c r="W2" s="54"/>
      <c r="X2" s="54"/>
      <c r="Z2" s="1" t="s">
        <v>480</v>
      </c>
      <c r="AA2" s="42">
        <v>46257.271145833336</v>
      </c>
    </row>
    <row r="3" spans="1:29" s="1" customFormat="1" ht="17.25" customHeight="1">
      <c r="A3" s="22" t="s">
        <v>2</v>
      </c>
      <c r="B3" s="40">
        <f>AA2</f>
        <v>46257.271145833336</v>
      </c>
      <c r="C3" s="22"/>
      <c r="D3" s="22"/>
      <c r="E3" s="11"/>
      <c r="F3" s="11"/>
      <c r="G3" s="11"/>
      <c r="H3" s="11"/>
      <c r="I3" s="12"/>
      <c r="J3" s="11"/>
      <c r="K3" s="11"/>
      <c r="L3" s="11"/>
      <c r="M3" s="13"/>
      <c r="N3" s="13"/>
      <c r="O3" s="13"/>
      <c r="P3" s="13"/>
      <c r="Q3" s="13"/>
      <c r="R3" s="13"/>
      <c r="S3" s="13"/>
      <c r="T3" s="11"/>
      <c r="U3" s="22" t="s">
        <v>3</v>
      </c>
      <c r="V3" s="25">
        <f>COUNTIF(Dashboard_Query[Biling Status],"over")</f>
        <v>22</v>
      </c>
      <c r="W3" s="14"/>
      <c r="X3" s="4"/>
    </row>
    <row r="4" spans="1:29" s="1" customFormat="1">
      <c r="A4" s="22" t="s">
        <v>4</v>
      </c>
      <c r="B4" s="22" cm="1">
        <f t="array" ref="B4">ROWS(_xlfn.UNIQUE(_xlfn._xlws.FILTER(Dashboard_Query[Kit],Dashboard_Query[Status]="Active")))</f>
        <v>201</v>
      </c>
      <c r="C4" s="22" t="s">
        <v>5</v>
      </c>
      <c r="D4" s="22" cm="1">
        <f t="array" ref="D4">ROWS(_xlfn.UNIQUE(_xlfn._xlws.FILTER(Dashboard_Query[Kit],Dashboard_Query[Status]="Deactivated")))</f>
        <v>168</v>
      </c>
      <c r="E4" s="4"/>
      <c r="F4" s="4"/>
      <c r="G4" s="4"/>
      <c r="H4" s="4"/>
      <c r="I4" s="6"/>
      <c r="J4" s="4"/>
      <c r="K4" s="4"/>
      <c r="L4" s="4"/>
      <c r="M4" s="8"/>
      <c r="N4" s="8"/>
      <c r="O4" s="8"/>
      <c r="P4" s="8"/>
      <c r="Q4" s="8"/>
      <c r="R4" s="8"/>
      <c r="S4" s="8"/>
      <c r="T4" s="4"/>
      <c r="U4" s="22" t="s">
        <v>6</v>
      </c>
      <c r="V4" s="25">
        <f>COUNTIF(Dashboard_Query[Biling Status],"Warning")</f>
        <v>1</v>
      </c>
      <c r="W4" s="15"/>
      <c r="X4" s="4"/>
    </row>
    <row r="5" spans="1:29" s="1" customFormat="1">
      <c r="A5" s="22" t="s">
        <v>7</v>
      </c>
      <c r="B5" s="23">
        <f>SUM(Dashboard_Query[Monthly Allowance])</f>
        <v>206000</v>
      </c>
      <c r="C5" s="22"/>
      <c r="D5" s="22"/>
      <c r="E5" s="4"/>
      <c r="F5" s="4"/>
      <c r="G5" s="4"/>
      <c r="H5" s="4"/>
      <c r="I5" s="6"/>
      <c r="J5" s="4"/>
      <c r="K5" s="4"/>
      <c r="L5" s="4"/>
      <c r="M5" s="8"/>
      <c r="N5" s="8"/>
      <c r="O5" s="8"/>
      <c r="P5" s="8"/>
      <c r="Q5" s="8"/>
      <c r="R5" s="8"/>
      <c r="S5" s="8"/>
      <c r="T5" s="4"/>
      <c r="U5" s="22" t="s">
        <v>8</v>
      </c>
      <c r="V5" s="25">
        <f>COUNTIF(Dashboard_Query[Biling Status],"OK")</f>
        <v>346</v>
      </c>
      <c r="W5" s="15"/>
      <c r="X5" s="4"/>
    </row>
    <row r="6" spans="1:29" s="1" customFormat="1">
      <c r="A6" s="22" t="s">
        <v>9</v>
      </c>
      <c r="B6" s="24">
        <f>SUM(Dashboard_Query[Data Usage (GB)])</f>
        <v>23972.560000000009</v>
      </c>
      <c r="C6" s="22"/>
      <c r="D6" s="22"/>
      <c r="E6" s="4"/>
      <c r="F6" s="4"/>
      <c r="G6" s="4"/>
      <c r="H6" s="4"/>
      <c r="I6" s="6"/>
      <c r="J6" s="4"/>
      <c r="K6" s="4"/>
      <c r="L6" s="4"/>
      <c r="M6" s="8"/>
      <c r="N6" s="8"/>
      <c r="O6" s="8"/>
      <c r="P6" s="8"/>
      <c r="Q6" s="8"/>
      <c r="R6" s="8"/>
      <c r="S6" s="8"/>
      <c r="T6" s="4"/>
      <c r="U6" s="22" t="s">
        <v>10</v>
      </c>
      <c r="V6" s="26">
        <f>SUM(Dashboard_Query[Overage])</f>
        <v>69.75</v>
      </c>
      <c r="W6" s="15"/>
      <c r="X6" s="4"/>
    </row>
    <row r="7" spans="1:29" s="1" customFormat="1">
      <c r="A7" s="22" t="s">
        <v>11</v>
      </c>
      <c r="B7" s="23">
        <f>SUM(Dashboard_Query[GB Remaining])</f>
        <v>173445.04000000007</v>
      </c>
      <c r="C7" s="22"/>
      <c r="D7" s="22"/>
      <c r="E7" s="4"/>
      <c r="F7" s="4"/>
      <c r="G7" s="4"/>
      <c r="H7" s="4"/>
      <c r="I7" s="6"/>
      <c r="J7" s="4"/>
      <c r="K7" s="4"/>
      <c r="L7" s="4"/>
      <c r="M7" s="8"/>
      <c r="N7" s="8"/>
      <c r="O7" s="8"/>
      <c r="P7" s="8"/>
      <c r="Q7" s="8"/>
      <c r="R7" s="8"/>
      <c r="S7" s="8"/>
      <c r="T7" s="4"/>
      <c r="U7" s="22" t="s">
        <v>12</v>
      </c>
      <c r="V7" s="27">
        <f>IFERROR(AVERAGE(Dashboard_Query[% Used]),0)</f>
        <v>6.8245496657115615E-2</v>
      </c>
      <c r="W7" s="15"/>
      <c r="X7" s="4"/>
    </row>
    <row r="8" spans="1:29" s="1" customFormat="1">
      <c r="A8" s="16"/>
      <c r="B8" s="17"/>
      <c r="C8" s="17"/>
      <c r="D8" s="17"/>
      <c r="E8" s="17"/>
      <c r="F8" s="17"/>
      <c r="G8" s="17"/>
      <c r="H8" s="17"/>
      <c r="I8" s="18"/>
      <c r="J8" s="17"/>
      <c r="K8" s="17"/>
      <c r="L8" s="17"/>
      <c r="M8" s="19"/>
      <c r="N8" s="19"/>
      <c r="O8" s="19"/>
      <c r="P8" s="19"/>
      <c r="Q8" s="19"/>
      <c r="R8" s="19"/>
      <c r="S8" s="19"/>
      <c r="T8" s="17"/>
      <c r="U8" s="17"/>
      <c r="V8" s="20"/>
      <c r="W8" s="21"/>
      <c r="X8" s="4"/>
    </row>
    <row r="9" spans="1:29" ht="24.75" customHeight="1">
      <c r="A9" s="28" t="s">
        <v>13</v>
      </c>
      <c r="B9" s="28" t="s">
        <v>14</v>
      </c>
      <c r="C9" s="28" t="s">
        <v>15</v>
      </c>
      <c r="D9" s="28" t="s">
        <v>16</v>
      </c>
      <c r="E9" s="28" t="s">
        <v>17</v>
      </c>
      <c r="F9" s="28" t="s">
        <v>18</v>
      </c>
      <c r="G9" s="28" t="s">
        <v>19</v>
      </c>
      <c r="H9" s="4" t="s">
        <v>20</v>
      </c>
      <c r="I9" s="31" t="s">
        <v>21</v>
      </c>
      <c r="J9" s="28" t="s">
        <v>22</v>
      </c>
      <c r="K9" s="28" t="s">
        <v>23</v>
      </c>
      <c r="L9" s="4" t="s">
        <v>24</v>
      </c>
      <c r="M9" s="28" t="s">
        <v>25</v>
      </c>
      <c r="N9" s="4" t="s">
        <v>26</v>
      </c>
      <c r="O9" s="1" t="s">
        <v>27</v>
      </c>
      <c r="P9" s="4" t="s">
        <v>28</v>
      </c>
      <c r="Q9" s="28" t="s">
        <v>9</v>
      </c>
      <c r="R9" s="28" t="s">
        <v>29</v>
      </c>
      <c r="S9" s="29" t="s">
        <v>30</v>
      </c>
      <c r="T9" s="29" t="s">
        <v>31</v>
      </c>
      <c r="U9" s="28" t="s">
        <v>32</v>
      </c>
      <c r="V9" s="28" t="s">
        <v>33</v>
      </c>
      <c r="W9" s="1"/>
      <c r="X9" s="1"/>
      <c r="Y9" s="1"/>
      <c r="AB9" s="1"/>
      <c r="AC9" s="1"/>
    </row>
    <row r="10" spans="1:29">
      <c r="A10" s="4" t="s">
        <v>399</v>
      </c>
      <c r="B10" s="4">
        <v>816269</v>
      </c>
      <c r="C10" s="4" t="s">
        <v>392</v>
      </c>
      <c r="D10" s="4" t="s">
        <v>393</v>
      </c>
      <c r="E10" s="4" t="s">
        <v>394</v>
      </c>
      <c r="F10" s="4">
        <v>211122081</v>
      </c>
      <c r="G10" s="6">
        <v>46248</v>
      </c>
      <c r="H10" s="6">
        <v>46248</v>
      </c>
      <c r="I10" s="32">
        <v>46279</v>
      </c>
      <c r="J10" s="1">
        <v>21</v>
      </c>
      <c r="K10" s="4">
        <v>500</v>
      </c>
      <c r="L10" s="4" t="s">
        <v>122</v>
      </c>
      <c r="M10" s="4" t="s">
        <v>123</v>
      </c>
      <c r="N10" s="6">
        <v>46248</v>
      </c>
      <c r="O10" s="1"/>
      <c r="P10" s="4"/>
      <c r="Q10" s="4"/>
      <c r="R10" s="4" t="str">
        <f>IF(
    OR(Dashboard_Query[[#This Row],[Monthly Allowance]]="",Dashboard_Query[[#This Row],[Current Usage]]=""),
    "",
    MAX(0,Dashboard_Query[[#This Row],[Monthly Allowance]]-Dashboard_Query[[#This Row],[Current Usage]])
)</f>
        <v/>
      </c>
      <c r="S10" s="9" t="str">
        <f>IF(OR(Dashboard_Query[[#This Row],[Monthly Allowance]]="",Dashboard_Query[[#This Row],[Current Usage]]=""),"",Dashboard_Query[[#This Row],[Current Usage]]/Dashboard_Query[[#This Row],[Monthly Allowance]])</f>
        <v/>
      </c>
      <c r="T10" s="9" t="str">
        <f>IF(Dashboard_Query[[#This Row],[% Used]]="","",1-Dashboard_Query[[#This Row],[% Used]])</f>
        <v/>
      </c>
      <c r="U10" s="4" t="str">
        <f>IF(OR(Dashboard_Query[[#This Row],[Monthly Allowance]]="",Dashboard_Query[[#This Row],[Current Usage]]=""),"",MAX(0,Dashboard_Query[[#This Row],[Current Usage]]-Dashboard_Query[[#This Row],[Monthly Allowance]]))</f>
        <v/>
      </c>
      <c r="V10" s="4" t="str">
        <f>IF(Dashboard_Query[[#This Row],[Monthly Allowance]]="","",IF(Dashboard_Query[[#This Row],[Overage]]&gt;0,"OVER",IF(Dashboard_Query[[#This Row],[% Used]]&gt;=0.8,"WARNING","OK")))</f>
        <v>OVER</v>
      </c>
      <c r="W10" s="1"/>
      <c r="X10" s="1"/>
      <c r="Y10" s="1"/>
      <c r="AB10" s="1"/>
      <c r="AC10" s="1"/>
    </row>
    <row r="11" spans="1:29">
      <c r="A11" s="4" t="s">
        <v>400</v>
      </c>
      <c r="B11" s="4">
        <v>816270</v>
      </c>
      <c r="C11" s="4" t="s">
        <v>392</v>
      </c>
      <c r="D11" s="4" t="s">
        <v>393</v>
      </c>
      <c r="E11" s="4" t="s">
        <v>394</v>
      </c>
      <c r="F11" s="4">
        <v>211122081</v>
      </c>
      <c r="G11" s="6">
        <v>46248</v>
      </c>
      <c r="H11" s="6">
        <v>46248</v>
      </c>
      <c r="I11" s="32">
        <v>46279</v>
      </c>
      <c r="J11" s="1">
        <v>21</v>
      </c>
      <c r="K11" s="4">
        <v>500</v>
      </c>
      <c r="L11" s="4" t="s">
        <v>122</v>
      </c>
      <c r="M11" s="4" t="s">
        <v>123</v>
      </c>
      <c r="N11" s="6">
        <v>46248</v>
      </c>
      <c r="O11" s="1"/>
      <c r="P11" s="4"/>
      <c r="Q11" s="4"/>
      <c r="R11" s="4" t="str">
        <f>IF(
    OR(Dashboard_Query[[#This Row],[Monthly Allowance]]="",Dashboard_Query[[#This Row],[Current Usage]]=""),
    "",
    MAX(0,Dashboard_Query[[#This Row],[Monthly Allowance]]-Dashboard_Query[[#This Row],[Current Usage]])
)</f>
        <v/>
      </c>
      <c r="S11" s="9" t="str">
        <f>IF(OR(Dashboard_Query[[#This Row],[Monthly Allowance]]="",Dashboard_Query[[#This Row],[Current Usage]]=""),"",Dashboard_Query[[#This Row],[Current Usage]]/Dashboard_Query[[#This Row],[Monthly Allowance]])</f>
        <v/>
      </c>
      <c r="T11" s="9" t="str">
        <f>IF(Dashboard_Query[[#This Row],[% Used]]="","",1-Dashboard_Query[[#This Row],[% Used]])</f>
        <v/>
      </c>
      <c r="U11" s="4" t="str">
        <f>IF(OR(Dashboard_Query[[#This Row],[Monthly Allowance]]="",Dashboard_Query[[#This Row],[Current Usage]]=""),"",MAX(0,Dashboard_Query[[#This Row],[Current Usage]]-Dashboard_Query[[#This Row],[Monthly Allowance]]))</f>
        <v/>
      </c>
      <c r="V11" s="4" t="str">
        <f>IF(Dashboard_Query[[#This Row],[Monthly Allowance]]="","",IF(Dashboard_Query[[#This Row],[Overage]]&gt;0,"OVER",IF(Dashboard_Query[[#This Row],[% Used]]&gt;=0.8,"WARNING","OK")))</f>
        <v>OVER</v>
      </c>
      <c r="W11" s="1"/>
      <c r="X11" s="1"/>
      <c r="Y11" s="1"/>
      <c r="AB11" s="1"/>
      <c r="AC11" s="1"/>
    </row>
    <row r="12" spans="1:29">
      <c r="A12" s="4" t="s">
        <v>402</v>
      </c>
      <c r="B12" s="4">
        <v>816272</v>
      </c>
      <c r="C12" s="4" t="s">
        <v>392</v>
      </c>
      <c r="D12" s="4" t="s">
        <v>393</v>
      </c>
      <c r="E12" s="4" t="s">
        <v>394</v>
      </c>
      <c r="F12" s="4">
        <v>211122081</v>
      </c>
      <c r="G12" s="6">
        <v>46248</v>
      </c>
      <c r="H12" s="6">
        <v>46248</v>
      </c>
      <c r="I12" s="32">
        <v>46279</v>
      </c>
      <c r="J12" s="1">
        <v>21</v>
      </c>
      <c r="K12" s="4">
        <v>500</v>
      </c>
      <c r="L12" s="4" t="s">
        <v>122</v>
      </c>
      <c r="M12" s="4" t="s">
        <v>123</v>
      </c>
      <c r="N12" s="6">
        <v>46248</v>
      </c>
      <c r="O12" s="1"/>
      <c r="P12" s="4"/>
      <c r="Q12" s="4"/>
      <c r="R12" s="4" t="str">
        <f>IF(
    OR(Dashboard_Query[[#This Row],[Monthly Allowance]]="",Dashboard_Query[[#This Row],[Current Usage]]=""),
    "",
    MAX(0,Dashboard_Query[[#This Row],[Monthly Allowance]]-Dashboard_Query[[#This Row],[Current Usage]])
)</f>
        <v/>
      </c>
      <c r="S12" s="9" t="str">
        <f>IF(OR(Dashboard_Query[[#This Row],[Monthly Allowance]]="",Dashboard_Query[[#This Row],[Current Usage]]=""),"",Dashboard_Query[[#This Row],[Current Usage]]/Dashboard_Query[[#This Row],[Monthly Allowance]])</f>
        <v/>
      </c>
      <c r="T12" s="9" t="str">
        <f>IF(Dashboard_Query[[#This Row],[% Used]]="","",1-Dashboard_Query[[#This Row],[% Used]])</f>
        <v/>
      </c>
      <c r="U12" s="4" t="str">
        <f>IF(OR(Dashboard_Query[[#This Row],[Monthly Allowance]]="",Dashboard_Query[[#This Row],[Current Usage]]=""),"",MAX(0,Dashboard_Query[[#This Row],[Current Usage]]-Dashboard_Query[[#This Row],[Monthly Allowance]]))</f>
        <v/>
      </c>
      <c r="V12" s="4" t="str">
        <f>IF(Dashboard_Query[[#This Row],[Monthly Allowance]]="","",IF(Dashboard_Query[[#This Row],[Overage]]&gt;0,"OVER",IF(Dashboard_Query[[#This Row],[% Used]]&gt;=0.8,"WARNING","OK")))</f>
        <v>OVER</v>
      </c>
      <c r="W12" s="1"/>
      <c r="X12" s="1"/>
      <c r="Y12" s="1"/>
      <c r="AB12" s="1"/>
      <c r="AC12" s="1"/>
    </row>
    <row r="13" spans="1:29" ht="14.25" customHeight="1">
      <c r="A13" s="4" t="s">
        <v>405</v>
      </c>
      <c r="B13" s="4">
        <v>816275</v>
      </c>
      <c r="C13" s="4" t="s">
        <v>392</v>
      </c>
      <c r="D13" s="4" t="s">
        <v>393</v>
      </c>
      <c r="E13" s="4" t="s">
        <v>394</v>
      </c>
      <c r="F13" s="4">
        <v>211122081</v>
      </c>
      <c r="G13" s="6">
        <v>46248</v>
      </c>
      <c r="H13" s="6">
        <v>46248</v>
      </c>
      <c r="I13" s="32">
        <v>46279</v>
      </c>
      <c r="J13" s="1">
        <v>21</v>
      </c>
      <c r="K13" s="4">
        <v>500</v>
      </c>
      <c r="L13" s="4" t="s">
        <v>122</v>
      </c>
      <c r="M13" s="4" t="s">
        <v>123</v>
      </c>
      <c r="N13" s="6">
        <v>46248</v>
      </c>
      <c r="O13" s="1"/>
      <c r="P13" s="4"/>
      <c r="Q13" s="4"/>
      <c r="R13" s="4" t="str">
        <f>IF(
    OR(Dashboard_Query[[#This Row],[Monthly Allowance]]="",Dashboard_Query[[#This Row],[Current Usage]]=""),
    "",
    MAX(0,Dashboard_Query[[#This Row],[Monthly Allowance]]-Dashboard_Query[[#This Row],[Current Usage]])
)</f>
        <v/>
      </c>
      <c r="S13" s="9" t="str">
        <f>IF(OR(Dashboard_Query[[#This Row],[Monthly Allowance]]="",Dashboard_Query[[#This Row],[Current Usage]]=""),"",Dashboard_Query[[#This Row],[Current Usage]]/Dashboard_Query[[#This Row],[Monthly Allowance]])</f>
        <v/>
      </c>
      <c r="T13" s="9" t="str">
        <f>IF(Dashboard_Query[[#This Row],[% Used]]="","",1-Dashboard_Query[[#This Row],[% Used]])</f>
        <v/>
      </c>
      <c r="U13" s="4" t="str">
        <f>IF(OR(Dashboard_Query[[#This Row],[Monthly Allowance]]="",Dashboard_Query[[#This Row],[Current Usage]]=""),"",MAX(0,Dashboard_Query[[#This Row],[Current Usage]]-Dashboard_Query[[#This Row],[Monthly Allowance]]))</f>
        <v/>
      </c>
      <c r="V13" s="4" t="str">
        <f>IF(Dashboard_Query[[#This Row],[Monthly Allowance]]="","",IF(Dashboard_Query[[#This Row],[Overage]]&gt;0,"OVER",IF(Dashboard_Query[[#This Row],[% Used]]&gt;=0.8,"WARNING","OK")))</f>
        <v>OVER</v>
      </c>
      <c r="W13" s="1"/>
      <c r="X13" s="1"/>
      <c r="Y13" s="1"/>
      <c r="AB13" s="1"/>
      <c r="AC13" s="1"/>
    </row>
    <row r="14" spans="1:29">
      <c r="A14" s="4" t="s">
        <v>407</v>
      </c>
      <c r="B14" s="4">
        <v>816277</v>
      </c>
      <c r="C14" s="4" t="s">
        <v>392</v>
      </c>
      <c r="D14" s="4" t="s">
        <v>393</v>
      </c>
      <c r="E14" s="4" t="s">
        <v>394</v>
      </c>
      <c r="F14" s="4">
        <v>211122081</v>
      </c>
      <c r="G14" s="6">
        <v>46248</v>
      </c>
      <c r="H14" s="6">
        <v>46248</v>
      </c>
      <c r="I14" s="32">
        <v>46279</v>
      </c>
      <c r="J14" s="1">
        <v>21</v>
      </c>
      <c r="K14" s="4">
        <v>500</v>
      </c>
      <c r="L14" s="4" t="s">
        <v>122</v>
      </c>
      <c r="M14" s="4" t="s">
        <v>123</v>
      </c>
      <c r="N14" s="6">
        <v>46248</v>
      </c>
      <c r="O14" s="1"/>
      <c r="P14" s="4"/>
      <c r="Q14" s="4"/>
      <c r="R14" s="4" t="str">
        <f>IF(
    OR(Dashboard_Query[[#This Row],[Monthly Allowance]]="",Dashboard_Query[[#This Row],[Current Usage]]=""),
    "",
    MAX(0,Dashboard_Query[[#This Row],[Monthly Allowance]]-Dashboard_Query[[#This Row],[Current Usage]])
)</f>
        <v/>
      </c>
      <c r="S14" s="9" t="str">
        <f>IF(OR(Dashboard_Query[[#This Row],[Monthly Allowance]]="",Dashboard_Query[[#This Row],[Current Usage]]=""),"",Dashboard_Query[[#This Row],[Current Usage]]/Dashboard_Query[[#This Row],[Monthly Allowance]])</f>
        <v/>
      </c>
      <c r="T14" s="9" t="str">
        <f>IF(Dashboard_Query[[#This Row],[% Used]]="","",1-Dashboard_Query[[#This Row],[% Used]])</f>
        <v/>
      </c>
      <c r="U14" s="4" t="str">
        <f>IF(OR(Dashboard_Query[[#This Row],[Monthly Allowance]]="",Dashboard_Query[[#This Row],[Current Usage]]=""),"",MAX(0,Dashboard_Query[[#This Row],[Current Usage]]-Dashboard_Query[[#This Row],[Monthly Allowance]]))</f>
        <v/>
      </c>
      <c r="V14" s="4" t="str">
        <f>IF(Dashboard_Query[[#This Row],[Monthly Allowance]]="","",IF(Dashboard_Query[[#This Row],[Overage]]&gt;0,"OVER",IF(Dashboard_Query[[#This Row],[% Used]]&gt;=0.8,"WARNING","OK")))</f>
        <v>OVER</v>
      </c>
      <c r="W14" s="1"/>
      <c r="X14" s="1"/>
      <c r="Y14" s="1"/>
      <c r="AB14" s="1"/>
      <c r="AC14" s="1"/>
    </row>
    <row r="15" spans="1:29">
      <c r="A15" s="4" t="s">
        <v>412</v>
      </c>
      <c r="B15" s="4">
        <v>816282</v>
      </c>
      <c r="C15" s="4" t="s">
        <v>392</v>
      </c>
      <c r="D15" s="4" t="s">
        <v>393</v>
      </c>
      <c r="E15" s="4" t="s">
        <v>394</v>
      </c>
      <c r="F15" s="4">
        <v>211122081</v>
      </c>
      <c r="G15" s="6">
        <v>46248</v>
      </c>
      <c r="H15" s="6">
        <v>46248</v>
      </c>
      <c r="I15" s="32">
        <v>46279</v>
      </c>
      <c r="J15" s="1">
        <v>21</v>
      </c>
      <c r="K15" s="4">
        <v>500</v>
      </c>
      <c r="L15" s="4" t="s">
        <v>122</v>
      </c>
      <c r="M15" s="4" t="s">
        <v>123</v>
      </c>
      <c r="N15" s="6">
        <v>46248</v>
      </c>
      <c r="O15" s="1"/>
      <c r="P15" s="4"/>
      <c r="Q15" s="4"/>
      <c r="R15" s="4" t="str">
        <f>IF(
    OR(Dashboard_Query[[#This Row],[Monthly Allowance]]="",Dashboard_Query[[#This Row],[Current Usage]]=""),
    "",
    MAX(0,Dashboard_Query[[#This Row],[Monthly Allowance]]-Dashboard_Query[[#This Row],[Current Usage]])
)</f>
        <v/>
      </c>
      <c r="S15" s="9" t="str">
        <f>IF(OR(Dashboard_Query[[#This Row],[Monthly Allowance]]="",Dashboard_Query[[#This Row],[Current Usage]]=""),"",Dashboard_Query[[#This Row],[Current Usage]]/Dashboard_Query[[#This Row],[Monthly Allowance]])</f>
        <v/>
      </c>
      <c r="T15" s="9" t="str">
        <f>IF(Dashboard_Query[[#This Row],[% Used]]="","",1-Dashboard_Query[[#This Row],[% Used]])</f>
        <v/>
      </c>
      <c r="U15" s="4" t="str">
        <f>IF(OR(Dashboard_Query[[#This Row],[Monthly Allowance]]="",Dashboard_Query[[#This Row],[Current Usage]]=""),"",MAX(0,Dashboard_Query[[#This Row],[Current Usage]]-Dashboard_Query[[#This Row],[Monthly Allowance]]))</f>
        <v/>
      </c>
      <c r="V15" s="4" t="str">
        <f>IF(Dashboard_Query[[#This Row],[Monthly Allowance]]="","",IF(Dashboard_Query[[#This Row],[Overage]]&gt;0,"OVER",IF(Dashboard_Query[[#This Row],[% Used]]&gt;=0.8,"WARNING","OK")))</f>
        <v>OVER</v>
      </c>
      <c r="W15" s="1"/>
      <c r="X15" s="1"/>
      <c r="Y15" s="1"/>
      <c r="AB15" s="1"/>
      <c r="AC15" s="1"/>
    </row>
    <row r="16" spans="1:29">
      <c r="A16" s="4" t="s">
        <v>404</v>
      </c>
      <c r="B16" s="4">
        <v>816274</v>
      </c>
      <c r="C16" s="4" t="s">
        <v>472</v>
      </c>
      <c r="D16" s="4" t="s">
        <v>393</v>
      </c>
      <c r="E16" s="4" t="s">
        <v>128</v>
      </c>
      <c r="F16" s="4">
        <v>211122084</v>
      </c>
      <c r="G16" s="6">
        <v>46248</v>
      </c>
      <c r="H16" s="6">
        <v>46248</v>
      </c>
      <c r="I16" s="32">
        <v>46279</v>
      </c>
      <c r="J16" s="1">
        <v>21</v>
      </c>
      <c r="K16" s="4">
        <v>500</v>
      </c>
      <c r="L16" s="4" t="s">
        <v>122</v>
      </c>
      <c r="M16" s="4" t="s">
        <v>123</v>
      </c>
      <c r="N16" s="6">
        <v>46248</v>
      </c>
      <c r="O16" s="1"/>
      <c r="P16" s="4"/>
      <c r="Q16" s="4"/>
      <c r="R16" s="4" t="str">
        <f>IF(
    OR(Dashboard_Query[[#This Row],[Monthly Allowance]]="",Dashboard_Query[[#This Row],[Current Usage]]=""),
    "",
    MAX(0,Dashboard_Query[[#This Row],[Monthly Allowance]]-Dashboard_Query[[#This Row],[Current Usage]])
)</f>
        <v/>
      </c>
      <c r="S16" s="9" t="str">
        <f>IF(OR(Dashboard_Query[[#This Row],[Monthly Allowance]]="",Dashboard_Query[[#This Row],[Current Usage]]=""),"",Dashboard_Query[[#This Row],[Current Usage]]/Dashboard_Query[[#This Row],[Monthly Allowance]])</f>
        <v/>
      </c>
      <c r="T16" s="9" t="str">
        <f>IF(Dashboard_Query[[#This Row],[% Used]]="","",1-Dashboard_Query[[#This Row],[% Used]])</f>
        <v/>
      </c>
      <c r="U16" s="4" t="str">
        <f>IF(OR(Dashboard_Query[[#This Row],[Monthly Allowance]]="",Dashboard_Query[[#This Row],[Current Usage]]=""),"",MAX(0,Dashboard_Query[[#This Row],[Current Usage]]-Dashboard_Query[[#This Row],[Monthly Allowance]]))</f>
        <v/>
      </c>
      <c r="V16" s="4" t="str">
        <f>IF(Dashboard_Query[[#This Row],[Monthly Allowance]]="","",IF(Dashboard_Query[[#This Row],[Overage]]&gt;0,"OVER",IF(Dashboard_Query[[#This Row],[% Used]]&gt;=0.8,"WARNING","OK")))</f>
        <v>OVER</v>
      </c>
      <c r="W16" s="1"/>
      <c r="X16" s="1"/>
      <c r="Y16" s="1"/>
      <c r="AB16" s="1"/>
      <c r="AC16" s="1"/>
    </row>
    <row r="17" spans="1:24">
      <c r="A17" s="4" t="s">
        <v>410</v>
      </c>
      <c r="B17" s="4">
        <v>816280</v>
      </c>
      <c r="C17" s="4" t="s">
        <v>472</v>
      </c>
      <c r="D17" s="4" t="s">
        <v>393</v>
      </c>
      <c r="E17" s="4" t="s">
        <v>128</v>
      </c>
      <c r="F17" s="4">
        <v>211122084</v>
      </c>
      <c r="G17" s="6">
        <v>46248</v>
      </c>
      <c r="H17" s="6">
        <v>46248</v>
      </c>
      <c r="I17" s="32">
        <v>46279</v>
      </c>
      <c r="J17" s="1">
        <v>21</v>
      </c>
      <c r="K17" s="4">
        <v>500</v>
      </c>
      <c r="L17" s="4" t="s">
        <v>122</v>
      </c>
      <c r="M17" s="4" t="s">
        <v>123</v>
      </c>
      <c r="N17" s="6">
        <v>46248</v>
      </c>
      <c r="O17" s="1"/>
      <c r="P17" s="4"/>
      <c r="Q17" s="4"/>
      <c r="R17" s="4" t="str">
        <f>IF(
    OR(Dashboard_Query[[#This Row],[Monthly Allowance]]="",Dashboard_Query[[#This Row],[Current Usage]]=""),
    "",
    MAX(0,Dashboard_Query[[#This Row],[Monthly Allowance]]-Dashboard_Query[[#This Row],[Current Usage]])
)</f>
        <v/>
      </c>
      <c r="S17" s="9" t="str">
        <f>IF(OR(Dashboard_Query[[#This Row],[Monthly Allowance]]="",Dashboard_Query[[#This Row],[Current Usage]]=""),"",Dashboard_Query[[#This Row],[Current Usage]]/Dashboard_Query[[#This Row],[Monthly Allowance]])</f>
        <v/>
      </c>
      <c r="T17" s="9" t="str">
        <f>IF(Dashboard_Query[[#This Row],[% Used]]="","",1-Dashboard_Query[[#This Row],[% Used]])</f>
        <v/>
      </c>
      <c r="U17" s="4" t="str">
        <f>IF(OR(Dashboard_Query[[#This Row],[Monthly Allowance]]="",Dashboard_Query[[#This Row],[Current Usage]]=""),"",MAX(0,Dashboard_Query[[#This Row],[Current Usage]]-Dashboard_Query[[#This Row],[Monthly Allowance]]))</f>
        <v/>
      </c>
      <c r="V17" s="4" t="str">
        <f>IF(Dashboard_Query[[#This Row],[Monthly Allowance]]="","",IF(Dashboard_Query[[#This Row],[Overage]]&gt;0,"OVER",IF(Dashboard_Query[[#This Row],[% Used]]&gt;=0.8,"WARNING","OK")))</f>
        <v>OVER</v>
      </c>
      <c r="W17" s="1"/>
      <c r="X17" s="1"/>
    </row>
    <row r="18" spans="1:24">
      <c r="A18" s="4" t="s">
        <v>414</v>
      </c>
      <c r="B18" s="4">
        <v>816284</v>
      </c>
      <c r="C18" s="4" t="s">
        <v>472</v>
      </c>
      <c r="D18" s="4" t="s">
        <v>393</v>
      </c>
      <c r="E18" s="4" t="s">
        <v>128</v>
      </c>
      <c r="F18" s="4">
        <v>211122084</v>
      </c>
      <c r="G18" s="6">
        <v>46248</v>
      </c>
      <c r="H18" s="6">
        <v>46248</v>
      </c>
      <c r="I18" s="32">
        <v>46279</v>
      </c>
      <c r="J18" s="1">
        <v>21</v>
      </c>
      <c r="K18" s="4">
        <v>500</v>
      </c>
      <c r="L18" s="4" t="s">
        <v>122</v>
      </c>
      <c r="M18" s="4" t="s">
        <v>123</v>
      </c>
      <c r="N18" s="6">
        <v>46248</v>
      </c>
      <c r="O18" s="1"/>
      <c r="P18" s="4"/>
      <c r="Q18" s="4"/>
      <c r="R18" s="4" t="str">
        <f>IF(
    OR(Dashboard_Query[[#This Row],[Monthly Allowance]]="",Dashboard_Query[[#This Row],[Current Usage]]=""),
    "",
    MAX(0,Dashboard_Query[[#This Row],[Monthly Allowance]]-Dashboard_Query[[#This Row],[Current Usage]])
)</f>
        <v/>
      </c>
      <c r="S18" s="9" t="str">
        <f>IF(OR(Dashboard_Query[[#This Row],[Monthly Allowance]]="",Dashboard_Query[[#This Row],[Current Usage]]=""),"",Dashboard_Query[[#This Row],[Current Usage]]/Dashboard_Query[[#This Row],[Monthly Allowance]])</f>
        <v/>
      </c>
      <c r="T18" s="9" t="str">
        <f>IF(Dashboard_Query[[#This Row],[% Used]]="","",1-Dashboard_Query[[#This Row],[% Used]])</f>
        <v/>
      </c>
      <c r="U18" s="4" t="str">
        <f>IF(OR(Dashboard_Query[[#This Row],[Monthly Allowance]]="",Dashboard_Query[[#This Row],[Current Usage]]=""),"",MAX(0,Dashboard_Query[[#This Row],[Current Usage]]-Dashboard_Query[[#This Row],[Monthly Allowance]]))</f>
        <v/>
      </c>
      <c r="V18" s="4" t="str">
        <f>IF(Dashboard_Query[[#This Row],[Monthly Allowance]]="","",IF(Dashboard_Query[[#This Row],[Overage]]&gt;0,"OVER",IF(Dashboard_Query[[#This Row],[% Used]]&gt;=0.8,"WARNING","OK")))</f>
        <v>OVER</v>
      </c>
      <c r="W18" s="1"/>
      <c r="X18" s="1"/>
    </row>
    <row r="19" spans="1:24">
      <c r="A19" s="4" t="s">
        <v>415</v>
      </c>
      <c r="B19" s="4">
        <v>816285</v>
      </c>
      <c r="C19" s="4" t="s">
        <v>472</v>
      </c>
      <c r="D19" s="4" t="s">
        <v>393</v>
      </c>
      <c r="E19" s="4" t="s">
        <v>128</v>
      </c>
      <c r="F19" s="4">
        <v>211122084</v>
      </c>
      <c r="G19" s="6">
        <v>46248</v>
      </c>
      <c r="H19" s="6">
        <v>46248</v>
      </c>
      <c r="I19" s="32">
        <v>46279</v>
      </c>
      <c r="J19" s="1">
        <v>21</v>
      </c>
      <c r="K19" s="4">
        <v>500</v>
      </c>
      <c r="L19" s="4" t="s">
        <v>122</v>
      </c>
      <c r="M19" s="4" t="s">
        <v>123</v>
      </c>
      <c r="N19" s="6">
        <v>46248</v>
      </c>
      <c r="O19" s="1"/>
      <c r="P19" s="4"/>
      <c r="Q19" s="4"/>
      <c r="R19" s="4" t="str">
        <f>IF(
    OR(Dashboard_Query[[#This Row],[Monthly Allowance]]="",Dashboard_Query[[#This Row],[Current Usage]]=""),
    "",
    MAX(0,Dashboard_Query[[#This Row],[Monthly Allowance]]-Dashboard_Query[[#This Row],[Current Usage]])
)</f>
        <v/>
      </c>
      <c r="S19" s="9" t="str">
        <f>IF(OR(Dashboard_Query[[#This Row],[Monthly Allowance]]="",Dashboard_Query[[#This Row],[Current Usage]]=""),"",Dashboard_Query[[#This Row],[Current Usage]]/Dashboard_Query[[#This Row],[Monthly Allowance]])</f>
        <v/>
      </c>
      <c r="T19" s="9" t="str">
        <f>IF(Dashboard_Query[[#This Row],[% Used]]="","",1-Dashboard_Query[[#This Row],[% Used]])</f>
        <v/>
      </c>
      <c r="U19" s="4" t="str">
        <f>IF(OR(Dashboard_Query[[#This Row],[Monthly Allowance]]="",Dashboard_Query[[#This Row],[Current Usage]]=""),"",MAX(0,Dashboard_Query[[#This Row],[Current Usage]]-Dashboard_Query[[#This Row],[Monthly Allowance]]))</f>
        <v/>
      </c>
      <c r="V19" s="4" t="str">
        <f>IF(Dashboard_Query[[#This Row],[Monthly Allowance]]="","",IF(Dashboard_Query[[#This Row],[Overage]]&gt;0,"OVER",IF(Dashboard_Query[[#This Row],[% Used]]&gt;=0.8,"WARNING","OK")))</f>
        <v>OVER</v>
      </c>
      <c r="W19" s="1"/>
      <c r="X19" s="1"/>
    </row>
    <row r="20" spans="1:24" ht="14.25" hidden="1" customHeight="1">
      <c r="A20" s="4" t="s">
        <v>396</v>
      </c>
      <c r="B20" s="4">
        <v>816078</v>
      </c>
      <c r="C20" s="4"/>
      <c r="D20" s="4"/>
      <c r="E20" s="4"/>
      <c r="F20" s="4"/>
      <c r="G20" s="6"/>
      <c r="H20" s="6"/>
      <c r="I20" s="32"/>
      <c r="J20" s="1"/>
      <c r="K20" s="4">
        <v>500</v>
      </c>
      <c r="L20" s="4" t="s">
        <v>122</v>
      </c>
      <c r="M20" s="4" t="s">
        <v>35</v>
      </c>
      <c r="N20" s="6"/>
      <c r="O20" s="1"/>
      <c r="P20" s="4"/>
      <c r="Q20" s="4"/>
      <c r="R20" s="4" t="str">
        <f>IF(
    OR(Dashboard_Query[[#This Row],[Monthly Allowance]]="",Dashboard_Query[[#This Row],[Current Usage]]=""),
    "",
    MAX(0,Dashboard_Query[[#This Row],[Monthly Allowance]]-Dashboard_Query[[#This Row],[Current Usage]])
)</f>
        <v/>
      </c>
      <c r="S20" s="9" t="str">
        <f>IF(OR(Dashboard_Query[[#This Row],[Monthly Allowance]]="",Dashboard_Query[[#This Row],[Current Usage]]=""),"",Dashboard_Query[[#This Row],[Current Usage]]/Dashboard_Query[[#This Row],[Monthly Allowance]])</f>
        <v/>
      </c>
      <c r="T20" s="9" t="str">
        <f>IF(Dashboard_Query[[#This Row],[% Used]]="","",1-Dashboard_Query[[#This Row],[% Used]])</f>
        <v/>
      </c>
      <c r="U20" s="4" t="str">
        <f>IF(OR(Dashboard_Query[[#This Row],[Monthly Allowance]]="",Dashboard_Query[[#This Row],[Current Usage]]=""),"",MAX(0,Dashboard_Query[[#This Row],[Current Usage]]-Dashboard_Query[[#This Row],[Monthly Allowance]]))</f>
        <v/>
      </c>
      <c r="V20" s="4" t="str">
        <f>IF(Dashboard_Query[[#This Row],[Monthly Allowance]]="","",IF(Dashboard_Query[[#This Row],[Overage]]&gt;0,"OVER",IF(Dashboard_Query[[#This Row],[% Used]]&gt;=0.8,"WARNING","OK")))</f>
        <v>OVER</v>
      </c>
      <c r="W20" s="1"/>
      <c r="X20" s="1"/>
    </row>
    <row r="21" spans="1:24" hidden="1">
      <c r="A21" s="4" t="s">
        <v>401</v>
      </c>
      <c r="B21" s="4">
        <v>816271</v>
      </c>
      <c r="C21" s="4"/>
      <c r="D21" s="4"/>
      <c r="E21" s="4"/>
      <c r="F21" s="4"/>
      <c r="G21" s="6"/>
      <c r="H21" s="6"/>
      <c r="I21" s="32"/>
      <c r="J21" s="1"/>
      <c r="K21" s="4">
        <v>500</v>
      </c>
      <c r="L21" s="4" t="s">
        <v>122</v>
      </c>
      <c r="M21" s="4" t="s">
        <v>35</v>
      </c>
      <c r="N21" s="6"/>
      <c r="O21" s="1"/>
      <c r="P21" s="4"/>
      <c r="Q21" s="4"/>
      <c r="R21" s="4" t="str">
        <f>IF(
    OR(Dashboard_Query[[#This Row],[Monthly Allowance]]="",Dashboard_Query[[#This Row],[Current Usage]]=""),
    "",
    MAX(0,Dashboard_Query[[#This Row],[Monthly Allowance]]-Dashboard_Query[[#This Row],[Current Usage]])
)</f>
        <v/>
      </c>
      <c r="S21" s="9" t="str">
        <f>IF(OR(Dashboard_Query[[#This Row],[Monthly Allowance]]="",Dashboard_Query[[#This Row],[Current Usage]]=""),"",Dashboard_Query[[#This Row],[Current Usage]]/Dashboard_Query[[#This Row],[Monthly Allowance]])</f>
        <v/>
      </c>
      <c r="T21" s="9" t="str">
        <f>IF(Dashboard_Query[[#This Row],[% Used]]="","",1-Dashboard_Query[[#This Row],[% Used]])</f>
        <v/>
      </c>
      <c r="U21" s="4" t="str">
        <f>IF(OR(Dashboard_Query[[#This Row],[Monthly Allowance]]="",Dashboard_Query[[#This Row],[Current Usage]]=""),"",MAX(0,Dashboard_Query[[#This Row],[Current Usage]]-Dashboard_Query[[#This Row],[Monthly Allowance]]))</f>
        <v/>
      </c>
      <c r="V21" s="4" t="str">
        <f>IF(Dashboard_Query[[#This Row],[Monthly Allowance]]="","",IF(Dashboard_Query[[#This Row],[Overage]]&gt;0,"OVER",IF(Dashboard_Query[[#This Row],[% Used]]&gt;=0.8,"WARNING","OK")))</f>
        <v>OVER</v>
      </c>
      <c r="W21" s="1"/>
      <c r="X21" s="1"/>
    </row>
    <row r="22" spans="1:24" hidden="1">
      <c r="A22" s="4" t="s">
        <v>403</v>
      </c>
      <c r="B22" s="4">
        <v>816273</v>
      </c>
      <c r="C22" s="4"/>
      <c r="D22" s="4"/>
      <c r="E22" s="4"/>
      <c r="F22" s="4"/>
      <c r="G22" s="6"/>
      <c r="H22" s="6"/>
      <c r="I22" s="32"/>
      <c r="J22" s="1"/>
      <c r="K22" s="4">
        <v>500</v>
      </c>
      <c r="L22" s="4" t="s">
        <v>122</v>
      </c>
      <c r="M22" s="4" t="s">
        <v>35</v>
      </c>
      <c r="N22" s="6"/>
      <c r="O22" s="1"/>
      <c r="P22" s="4"/>
      <c r="Q22" s="4"/>
      <c r="R22" s="4" t="str">
        <f>IF(
    OR(Dashboard_Query[[#This Row],[Monthly Allowance]]="",Dashboard_Query[[#This Row],[Current Usage]]=""),
    "",
    MAX(0,Dashboard_Query[[#This Row],[Monthly Allowance]]-Dashboard_Query[[#This Row],[Current Usage]])
)</f>
        <v/>
      </c>
      <c r="S22" s="9" t="str">
        <f>IF(OR(Dashboard_Query[[#This Row],[Monthly Allowance]]="",Dashboard_Query[[#This Row],[Current Usage]]=""),"",Dashboard_Query[[#This Row],[Current Usage]]/Dashboard_Query[[#This Row],[Monthly Allowance]])</f>
        <v/>
      </c>
      <c r="T22" s="9" t="str">
        <f>IF(Dashboard_Query[[#This Row],[% Used]]="","",1-Dashboard_Query[[#This Row],[% Used]])</f>
        <v/>
      </c>
      <c r="U22" s="4" t="str">
        <f>IF(OR(Dashboard_Query[[#This Row],[Monthly Allowance]]="",Dashboard_Query[[#This Row],[Current Usage]]=""),"",MAX(0,Dashboard_Query[[#This Row],[Current Usage]]-Dashboard_Query[[#This Row],[Monthly Allowance]]))</f>
        <v/>
      </c>
      <c r="V22" s="4" t="str">
        <f>IF(Dashboard_Query[[#This Row],[Monthly Allowance]]="","",IF(Dashboard_Query[[#This Row],[Overage]]&gt;0,"OVER",IF(Dashboard_Query[[#This Row],[% Used]]&gt;=0.8,"WARNING","OK")))</f>
        <v>OVER</v>
      </c>
      <c r="W22" s="1"/>
      <c r="X22" s="1"/>
    </row>
    <row r="23" spans="1:24" hidden="1">
      <c r="A23" s="4" t="s">
        <v>406</v>
      </c>
      <c r="B23" s="4">
        <v>816276</v>
      </c>
      <c r="C23" s="4"/>
      <c r="D23" s="4"/>
      <c r="E23" s="4"/>
      <c r="F23" s="4"/>
      <c r="G23" s="6"/>
      <c r="H23" s="6"/>
      <c r="I23" s="32"/>
      <c r="J23" s="1"/>
      <c r="K23" s="4">
        <v>500</v>
      </c>
      <c r="L23" s="4" t="s">
        <v>122</v>
      </c>
      <c r="M23" s="4" t="s">
        <v>35</v>
      </c>
      <c r="N23" s="6"/>
      <c r="O23" s="1"/>
      <c r="P23" s="4"/>
      <c r="Q23" s="4"/>
      <c r="R23" s="4" t="str">
        <f>IF(
    OR(Dashboard_Query[[#This Row],[Monthly Allowance]]="",Dashboard_Query[[#This Row],[Current Usage]]=""),
    "",
    MAX(0,Dashboard_Query[[#This Row],[Monthly Allowance]]-Dashboard_Query[[#This Row],[Current Usage]])
)</f>
        <v/>
      </c>
      <c r="S23" s="9" t="str">
        <f>IF(OR(Dashboard_Query[[#This Row],[Monthly Allowance]]="",Dashboard_Query[[#This Row],[Current Usage]]=""),"",Dashboard_Query[[#This Row],[Current Usage]]/Dashboard_Query[[#This Row],[Monthly Allowance]])</f>
        <v/>
      </c>
      <c r="T23" s="9" t="str">
        <f>IF(Dashboard_Query[[#This Row],[% Used]]="","",1-Dashboard_Query[[#This Row],[% Used]])</f>
        <v/>
      </c>
      <c r="U23" s="4" t="str">
        <f>IF(OR(Dashboard_Query[[#This Row],[Monthly Allowance]]="",Dashboard_Query[[#This Row],[Current Usage]]=""),"",MAX(0,Dashboard_Query[[#This Row],[Current Usage]]-Dashboard_Query[[#This Row],[Monthly Allowance]]))</f>
        <v/>
      </c>
      <c r="V23" s="4" t="str">
        <f>IF(Dashboard_Query[[#This Row],[Monthly Allowance]]="","",IF(Dashboard_Query[[#This Row],[Overage]]&gt;0,"OVER",IF(Dashboard_Query[[#This Row],[% Used]]&gt;=0.8,"WARNING","OK")))</f>
        <v>OVER</v>
      </c>
      <c r="W23" s="1"/>
      <c r="X23" s="1"/>
    </row>
    <row r="24" spans="1:24" hidden="1">
      <c r="A24" s="4" t="s">
        <v>409</v>
      </c>
      <c r="B24" s="4">
        <v>816279</v>
      </c>
      <c r="C24" s="4"/>
      <c r="D24" s="4"/>
      <c r="E24" s="4"/>
      <c r="F24" s="4"/>
      <c r="G24" s="6"/>
      <c r="H24" s="6"/>
      <c r="I24" s="32"/>
      <c r="J24" s="1"/>
      <c r="K24" s="4">
        <v>500</v>
      </c>
      <c r="L24" s="4" t="s">
        <v>122</v>
      </c>
      <c r="M24" s="4" t="s">
        <v>35</v>
      </c>
      <c r="N24" s="6"/>
      <c r="O24" s="1"/>
      <c r="P24" s="4"/>
      <c r="Q24" s="4"/>
      <c r="R24" s="4" t="str">
        <f>IF(
    OR(Dashboard_Query[[#This Row],[Monthly Allowance]]="",Dashboard_Query[[#This Row],[Current Usage]]=""),
    "",
    MAX(0,Dashboard_Query[[#This Row],[Monthly Allowance]]-Dashboard_Query[[#This Row],[Current Usage]])
)</f>
        <v/>
      </c>
      <c r="S24" s="9" t="str">
        <f>IF(OR(Dashboard_Query[[#This Row],[Monthly Allowance]]="",Dashboard_Query[[#This Row],[Current Usage]]=""),"",Dashboard_Query[[#This Row],[Current Usage]]/Dashboard_Query[[#This Row],[Monthly Allowance]])</f>
        <v/>
      </c>
      <c r="T24" s="9" t="str">
        <f>IF(Dashboard_Query[[#This Row],[% Used]]="","",1-Dashboard_Query[[#This Row],[% Used]])</f>
        <v/>
      </c>
      <c r="U24" s="4" t="str">
        <f>IF(OR(Dashboard_Query[[#This Row],[Monthly Allowance]]="",Dashboard_Query[[#This Row],[Current Usage]]=""),"",MAX(0,Dashboard_Query[[#This Row],[Current Usage]]-Dashboard_Query[[#This Row],[Monthly Allowance]]))</f>
        <v/>
      </c>
      <c r="V24" s="4" t="str">
        <f>IF(Dashboard_Query[[#This Row],[Monthly Allowance]]="","",IF(Dashboard_Query[[#This Row],[Overage]]&gt;0,"OVER",IF(Dashboard_Query[[#This Row],[% Used]]&gt;=0.8,"WARNING","OK")))</f>
        <v>OVER</v>
      </c>
      <c r="W24" s="1"/>
      <c r="X24" s="1"/>
    </row>
    <row r="25" spans="1:24" hidden="1">
      <c r="A25" s="4" t="s">
        <v>411</v>
      </c>
      <c r="B25" s="4">
        <v>816281</v>
      </c>
      <c r="C25" s="4"/>
      <c r="D25" s="4"/>
      <c r="E25" s="4"/>
      <c r="F25" s="4"/>
      <c r="G25" s="6"/>
      <c r="H25" s="6"/>
      <c r="I25" s="32"/>
      <c r="J25" s="1"/>
      <c r="K25" s="4">
        <v>500</v>
      </c>
      <c r="L25" s="4" t="s">
        <v>122</v>
      </c>
      <c r="M25" s="4" t="s">
        <v>35</v>
      </c>
      <c r="N25" s="6"/>
      <c r="O25" s="1"/>
      <c r="P25" s="4"/>
      <c r="Q25" s="4"/>
      <c r="R25" s="4" t="str">
        <f>IF(
    OR(Dashboard_Query[[#This Row],[Monthly Allowance]]="",Dashboard_Query[[#This Row],[Current Usage]]=""),
    "",
    MAX(0,Dashboard_Query[[#This Row],[Monthly Allowance]]-Dashboard_Query[[#This Row],[Current Usage]])
)</f>
        <v/>
      </c>
      <c r="S25" s="9" t="str">
        <f>IF(OR(Dashboard_Query[[#This Row],[Monthly Allowance]]="",Dashboard_Query[[#This Row],[Current Usage]]=""),"",Dashboard_Query[[#This Row],[Current Usage]]/Dashboard_Query[[#This Row],[Monthly Allowance]])</f>
        <v/>
      </c>
      <c r="T25" s="9" t="str">
        <f>IF(Dashboard_Query[[#This Row],[% Used]]="","",1-Dashboard_Query[[#This Row],[% Used]])</f>
        <v/>
      </c>
      <c r="U25" s="4" t="str">
        <f>IF(OR(Dashboard_Query[[#This Row],[Monthly Allowance]]="",Dashboard_Query[[#This Row],[Current Usage]]=""),"",MAX(0,Dashboard_Query[[#This Row],[Current Usage]]-Dashboard_Query[[#This Row],[Monthly Allowance]]))</f>
        <v/>
      </c>
      <c r="V25" s="4" t="str">
        <f>IF(Dashboard_Query[[#This Row],[Monthly Allowance]]="","",IF(Dashboard_Query[[#This Row],[Overage]]&gt;0,"OVER",IF(Dashboard_Query[[#This Row],[% Used]]&gt;=0.8,"WARNING","OK")))</f>
        <v>OVER</v>
      </c>
      <c r="W25" s="1"/>
      <c r="X25" s="1"/>
    </row>
    <row r="26" spans="1:24" hidden="1">
      <c r="A26" s="4" t="s">
        <v>413</v>
      </c>
      <c r="B26" s="4">
        <v>816283</v>
      </c>
      <c r="C26" s="4"/>
      <c r="D26" s="4"/>
      <c r="E26" s="4"/>
      <c r="F26" s="4"/>
      <c r="G26" s="6"/>
      <c r="H26" s="6"/>
      <c r="I26" s="32"/>
      <c r="J26" s="1"/>
      <c r="K26" s="4">
        <v>500</v>
      </c>
      <c r="L26" s="4" t="s">
        <v>122</v>
      </c>
      <c r="M26" s="4" t="s">
        <v>35</v>
      </c>
      <c r="N26" s="6"/>
      <c r="O26" s="1"/>
      <c r="P26" s="4"/>
      <c r="Q26" s="4"/>
      <c r="R26" s="4" t="str">
        <f>IF(
    OR(Dashboard_Query[[#This Row],[Monthly Allowance]]="",Dashboard_Query[[#This Row],[Current Usage]]=""),
    "",
    MAX(0,Dashboard_Query[[#This Row],[Monthly Allowance]]-Dashboard_Query[[#This Row],[Current Usage]])
)</f>
        <v/>
      </c>
      <c r="S26" s="9" t="str">
        <f>IF(OR(Dashboard_Query[[#This Row],[Monthly Allowance]]="",Dashboard_Query[[#This Row],[Current Usage]]=""),"",Dashboard_Query[[#This Row],[Current Usage]]/Dashboard_Query[[#This Row],[Monthly Allowance]])</f>
        <v/>
      </c>
      <c r="T26" s="9" t="str">
        <f>IF(Dashboard_Query[[#This Row],[% Used]]="","",1-Dashboard_Query[[#This Row],[% Used]])</f>
        <v/>
      </c>
      <c r="U26" s="4" t="str">
        <f>IF(OR(Dashboard_Query[[#This Row],[Monthly Allowance]]="",Dashboard_Query[[#This Row],[Current Usage]]=""),"",MAX(0,Dashboard_Query[[#This Row],[Current Usage]]-Dashboard_Query[[#This Row],[Monthly Allowance]]))</f>
        <v/>
      </c>
      <c r="V26" s="4" t="str">
        <f>IF(Dashboard_Query[[#This Row],[Monthly Allowance]]="","",IF(Dashboard_Query[[#This Row],[Overage]]&gt;0,"OVER",IF(Dashboard_Query[[#This Row],[% Used]]&gt;=0.8,"WARNING","OK")))</f>
        <v>OVER</v>
      </c>
      <c r="W26" s="1"/>
      <c r="X26" s="1"/>
    </row>
    <row r="27" spans="1:24" hidden="1">
      <c r="A27" s="4" t="s">
        <v>416</v>
      </c>
      <c r="B27" s="4">
        <v>816290</v>
      </c>
      <c r="C27" s="4"/>
      <c r="D27" s="4"/>
      <c r="E27" s="4"/>
      <c r="F27" s="4"/>
      <c r="G27" s="6"/>
      <c r="H27" s="6"/>
      <c r="I27" s="32"/>
      <c r="J27" s="1"/>
      <c r="K27" s="4">
        <v>500</v>
      </c>
      <c r="L27" s="4" t="s">
        <v>122</v>
      </c>
      <c r="M27" s="4" t="s">
        <v>35</v>
      </c>
      <c r="N27" s="6"/>
      <c r="O27" s="1"/>
      <c r="P27" s="4"/>
      <c r="Q27" s="4"/>
      <c r="R27" s="4" t="str">
        <f>IF(
    OR(Dashboard_Query[[#This Row],[Monthly Allowance]]="",Dashboard_Query[[#This Row],[Current Usage]]=""),
    "",
    MAX(0,Dashboard_Query[[#This Row],[Monthly Allowance]]-Dashboard_Query[[#This Row],[Current Usage]])
)</f>
        <v/>
      </c>
      <c r="S27" s="9" t="str">
        <f>IF(OR(Dashboard_Query[[#This Row],[Monthly Allowance]]="",Dashboard_Query[[#This Row],[Current Usage]]=""),"",Dashboard_Query[[#This Row],[Current Usage]]/Dashboard_Query[[#This Row],[Monthly Allowance]])</f>
        <v/>
      </c>
      <c r="T27" s="9" t="str">
        <f>IF(Dashboard_Query[[#This Row],[% Used]]="","",1-Dashboard_Query[[#This Row],[% Used]])</f>
        <v/>
      </c>
      <c r="U27" s="4" t="str">
        <f>IF(OR(Dashboard_Query[[#This Row],[Monthly Allowance]]="",Dashboard_Query[[#This Row],[Current Usage]]=""),"",MAX(0,Dashboard_Query[[#This Row],[Current Usage]]-Dashboard_Query[[#This Row],[Monthly Allowance]]))</f>
        <v/>
      </c>
      <c r="V27" s="4" t="str">
        <f>IF(Dashboard_Query[[#This Row],[Monthly Allowance]]="","",IF(Dashboard_Query[[#This Row],[Overage]]&gt;0,"OVER",IF(Dashboard_Query[[#This Row],[% Used]]&gt;=0.8,"WARNING","OK")))</f>
        <v>OVER</v>
      </c>
      <c r="W27" s="1"/>
      <c r="X27" s="1"/>
    </row>
    <row r="28" spans="1:24" hidden="1">
      <c r="A28" s="4" t="s">
        <v>467</v>
      </c>
      <c r="B28" s="4">
        <v>816334</v>
      </c>
      <c r="C28" s="4"/>
      <c r="D28" s="4"/>
      <c r="E28" s="4"/>
      <c r="F28" s="4"/>
      <c r="G28" s="6"/>
      <c r="H28" s="6"/>
      <c r="I28" s="32"/>
      <c r="J28" s="1"/>
      <c r="K28" s="4">
        <v>1000</v>
      </c>
      <c r="L28" s="4" t="s">
        <v>122</v>
      </c>
      <c r="M28" s="4" t="s">
        <v>35</v>
      </c>
      <c r="N28" s="6"/>
      <c r="O28" s="1"/>
      <c r="P28" s="4"/>
      <c r="Q28" s="4"/>
      <c r="R28" s="4" t="str">
        <f>IF(
    OR(Dashboard_Query[[#This Row],[Monthly Allowance]]="",Dashboard_Query[[#This Row],[Current Usage]]=""),
    "",
    MAX(0,Dashboard_Query[[#This Row],[Monthly Allowance]]-Dashboard_Query[[#This Row],[Current Usage]])
)</f>
        <v/>
      </c>
      <c r="S28" s="9" t="str">
        <f>IF(OR(Dashboard_Query[[#This Row],[Monthly Allowance]]="",Dashboard_Query[[#This Row],[Current Usage]]=""),"",Dashboard_Query[[#This Row],[Current Usage]]/Dashboard_Query[[#This Row],[Monthly Allowance]])</f>
        <v/>
      </c>
      <c r="T28" s="9" t="str">
        <f>IF(Dashboard_Query[[#This Row],[% Used]]="","",1-Dashboard_Query[[#This Row],[% Used]])</f>
        <v/>
      </c>
      <c r="U28" s="4" t="str">
        <f>IF(OR(Dashboard_Query[[#This Row],[Monthly Allowance]]="",Dashboard_Query[[#This Row],[Current Usage]]=""),"",MAX(0,Dashboard_Query[[#This Row],[Current Usage]]-Dashboard_Query[[#This Row],[Monthly Allowance]]))</f>
        <v/>
      </c>
      <c r="V28" s="4" t="str">
        <f>IF(Dashboard_Query[[#This Row],[Monthly Allowance]]="","",IF(Dashboard_Query[[#This Row],[Overage]]&gt;0,"OVER",IF(Dashboard_Query[[#This Row],[% Used]]&gt;=0.8,"WARNING","OK")))</f>
        <v>OVER</v>
      </c>
      <c r="W28" s="1"/>
      <c r="X28" s="1"/>
    </row>
    <row r="29" spans="1:24" hidden="1">
      <c r="A29" s="4" t="s">
        <v>468</v>
      </c>
      <c r="B29" s="4">
        <v>816335</v>
      </c>
      <c r="C29" s="4"/>
      <c r="D29" s="4"/>
      <c r="E29" s="4"/>
      <c r="F29" s="4"/>
      <c r="G29" s="6"/>
      <c r="H29" s="6"/>
      <c r="I29" s="32"/>
      <c r="J29" s="1"/>
      <c r="K29" s="4">
        <v>1000</v>
      </c>
      <c r="L29" s="4" t="s">
        <v>122</v>
      </c>
      <c r="M29" s="4" t="s">
        <v>35</v>
      </c>
      <c r="N29" s="6"/>
      <c r="O29" s="1"/>
      <c r="P29" s="4"/>
      <c r="Q29" s="4"/>
      <c r="R29" s="4" t="str">
        <f>IF(
    OR(Dashboard_Query[[#This Row],[Monthly Allowance]]="",Dashboard_Query[[#This Row],[Current Usage]]=""),
    "",
    MAX(0,Dashboard_Query[[#This Row],[Monthly Allowance]]-Dashboard_Query[[#This Row],[Current Usage]])
)</f>
        <v/>
      </c>
      <c r="S29" s="9" t="str">
        <f>IF(OR(Dashboard_Query[[#This Row],[Monthly Allowance]]="",Dashboard_Query[[#This Row],[Current Usage]]=""),"",Dashboard_Query[[#This Row],[Current Usage]]/Dashboard_Query[[#This Row],[Monthly Allowance]])</f>
        <v/>
      </c>
      <c r="T29" s="9" t="str">
        <f>IF(Dashboard_Query[[#This Row],[% Used]]="","",1-Dashboard_Query[[#This Row],[% Used]])</f>
        <v/>
      </c>
      <c r="U29" s="4" t="str">
        <f>IF(OR(Dashboard_Query[[#This Row],[Monthly Allowance]]="",Dashboard_Query[[#This Row],[Current Usage]]=""),"",MAX(0,Dashboard_Query[[#This Row],[Current Usage]]-Dashboard_Query[[#This Row],[Monthly Allowance]]))</f>
        <v/>
      </c>
      <c r="V29" s="4" t="str">
        <f>IF(Dashboard_Query[[#This Row],[Monthly Allowance]]="","",IF(Dashboard_Query[[#This Row],[Overage]]&gt;0,"OVER",IF(Dashboard_Query[[#This Row],[% Used]]&gt;=0.8,"WARNING","OK")))</f>
        <v>OVER</v>
      </c>
      <c r="W29" s="1"/>
      <c r="X29" s="1"/>
    </row>
    <row r="30" spans="1:24" hidden="1">
      <c r="A30" s="4" t="s">
        <v>134</v>
      </c>
      <c r="B30" s="4">
        <v>814644</v>
      </c>
      <c r="C30" s="4"/>
      <c r="D30" s="4"/>
      <c r="E30" s="4"/>
      <c r="F30" s="4"/>
      <c r="G30" s="6"/>
      <c r="H30" s="6"/>
      <c r="I30" s="32"/>
      <c r="J30" s="1"/>
      <c r="K30" s="4">
        <v>1000</v>
      </c>
      <c r="L30" s="4" t="s">
        <v>122</v>
      </c>
      <c r="M30" s="4" t="s">
        <v>35</v>
      </c>
      <c r="N30" s="6"/>
      <c r="O30" s="1"/>
      <c r="P30" s="4">
        <v>980.35</v>
      </c>
      <c r="Q30" s="4">
        <v>1025.53</v>
      </c>
      <c r="R30" s="4">
        <f>IF(
    OR(Dashboard_Query[[#This Row],[Monthly Allowance]]="",Dashboard_Query[[#This Row],[Current Usage]]=""),
    "",
    MAX(0,Dashboard_Query[[#This Row],[Monthly Allowance]]-Dashboard_Query[[#This Row],[Current Usage]])
)</f>
        <v>0</v>
      </c>
      <c r="S30" s="9">
        <f>IF(OR(Dashboard_Query[[#This Row],[Monthly Allowance]]="",Dashboard_Query[[#This Row],[Current Usage]]=""),"",Dashboard_Query[[#This Row],[Current Usage]]/Dashboard_Query[[#This Row],[Monthly Allowance]])</f>
        <v>1.0255300000000001</v>
      </c>
      <c r="T30" s="9">
        <f>IF(Dashboard_Query[[#This Row],[% Used]]="","",1-Dashboard_Query[[#This Row],[% Used]])</f>
        <v>-2.5530000000000053E-2</v>
      </c>
      <c r="U30" s="4">
        <f>IF(OR(Dashboard_Query[[#This Row],[Monthly Allowance]]="",Dashboard_Query[[#This Row],[Current Usage]]=""),"",MAX(0,Dashboard_Query[[#This Row],[Current Usage]]-Dashboard_Query[[#This Row],[Monthly Allowance]]))</f>
        <v>25.529999999999973</v>
      </c>
      <c r="V30" s="4" t="str">
        <f>IF(Dashboard_Query[[#This Row],[Monthly Allowance]]="","",IF(Dashboard_Query[[#This Row],[Overage]]&gt;0,"OVER",IF(Dashboard_Query[[#This Row],[% Used]]&gt;=0.8,"WARNING","OK")))</f>
        <v>OVER</v>
      </c>
      <c r="W30" s="1"/>
      <c r="X30" s="1"/>
    </row>
    <row r="31" spans="1:24">
      <c r="A31" s="4" t="s">
        <v>155</v>
      </c>
      <c r="B31" s="4">
        <v>812921</v>
      </c>
      <c r="C31" s="4" t="s">
        <v>126</v>
      </c>
      <c r="D31" s="4" t="s">
        <v>127</v>
      </c>
      <c r="E31" s="4" t="s">
        <v>128</v>
      </c>
      <c r="F31" s="4">
        <v>211121595</v>
      </c>
      <c r="G31" s="6">
        <v>46233</v>
      </c>
      <c r="H31" s="6">
        <v>46233</v>
      </c>
      <c r="I31" s="32">
        <v>46264</v>
      </c>
      <c r="J31" s="1">
        <v>6</v>
      </c>
      <c r="K31" s="4">
        <v>2000</v>
      </c>
      <c r="L31" s="4" t="s">
        <v>122</v>
      </c>
      <c r="M31" s="4" t="s">
        <v>123</v>
      </c>
      <c r="N31" s="6">
        <v>46233</v>
      </c>
      <c r="O31" s="1"/>
      <c r="P31" s="4">
        <v>2044.22</v>
      </c>
      <c r="Q31" s="4">
        <v>2044.22</v>
      </c>
      <c r="R31" s="4">
        <f>IF(
    OR(Dashboard_Query[[#This Row],[Monthly Allowance]]="",Dashboard_Query[[#This Row],[Current Usage]]=""),
    "",
    MAX(0,Dashboard_Query[[#This Row],[Monthly Allowance]]-Dashboard_Query[[#This Row],[Current Usage]])
)</f>
        <v>0</v>
      </c>
      <c r="S31" s="9">
        <f>IF(OR(Dashboard_Query[[#This Row],[Monthly Allowance]]="",Dashboard_Query[[#This Row],[Current Usage]]=""),"",Dashboard_Query[[#This Row],[Current Usage]]/Dashboard_Query[[#This Row],[Monthly Allowance]])</f>
        <v>1.0221100000000001</v>
      </c>
      <c r="T31" s="9">
        <f>IF(Dashboard_Query[[#This Row],[% Used]]="","",1-Dashboard_Query[[#This Row],[% Used]])</f>
        <v>-2.2110000000000074E-2</v>
      </c>
      <c r="U31" s="4">
        <f>IF(OR(Dashboard_Query[[#This Row],[Monthly Allowance]]="",Dashboard_Query[[#This Row],[Current Usage]]=""),"",MAX(0,Dashboard_Query[[#This Row],[Current Usage]]-Dashboard_Query[[#This Row],[Monthly Allowance]]))</f>
        <v>44.220000000000027</v>
      </c>
      <c r="V31" s="4" t="str">
        <f>IF(Dashboard_Query[[#This Row],[Monthly Allowance]]="","",IF(Dashboard_Query[[#This Row],[Overage]]&gt;0,"OVER",IF(Dashboard_Query[[#This Row],[% Used]]&gt;=0.8,"WARNING","OK")))</f>
        <v>OVER</v>
      </c>
      <c r="W31" s="1"/>
      <c r="X31" s="1"/>
    </row>
    <row r="32" spans="1:24">
      <c r="A32" s="4" t="s">
        <v>212</v>
      </c>
      <c r="B32" s="4">
        <v>812819</v>
      </c>
      <c r="C32" s="4" t="s">
        <v>383</v>
      </c>
      <c r="D32" s="4" t="s">
        <v>180</v>
      </c>
      <c r="E32" s="4" t="s">
        <v>384</v>
      </c>
      <c r="F32" s="4">
        <v>211121827</v>
      </c>
      <c r="G32" s="6">
        <v>46241</v>
      </c>
      <c r="H32" s="6">
        <v>46241</v>
      </c>
      <c r="I32" s="32">
        <v>46272</v>
      </c>
      <c r="J32" s="1">
        <v>14</v>
      </c>
      <c r="K32" s="4">
        <v>500</v>
      </c>
      <c r="L32" s="4" t="s">
        <v>122</v>
      </c>
      <c r="M32" s="4" t="s">
        <v>123</v>
      </c>
      <c r="N32" s="6">
        <v>46241</v>
      </c>
      <c r="O32" s="1"/>
      <c r="P32" s="4">
        <v>462.9</v>
      </c>
      <c r="Q32" s="4">
        <v>462.85999999999996</v>
      </c>
      <c r="R32" s="4">
        <f>IF(
    OR(Dashboard_Query[[#This Row],[Monthly Allowance]]="",Dashboard_Query[[#This Row],[Current Usage]]=""),
    "",
    MAX(0,Dashboard_Query[[#This Row],[Monthly Allowance]]-Dashboard_Query[[#This Row],[Current Usage]])
)</f>
        <v>37.140000000000043</v>
      </c>
      <c r="S32" s="9">
        <f>IF(OR(Dashboard_Query[[#This Row],[Monthly Allowance]]="",Dashboard_Query[[#This Row],[Current Usage]]=""),"",Dashboard_Query[[#This Row],[Current Usage]]/Dashboard_Query[[#This Row],[Monthly Allowance]])</f>
        <v>0.92571999999999988</v>
      </c>
      <c r="T32" s="9">
        <f>IF(Dashboard_Query[[#This Row],[% Used]]="","",1-Dashboard_Query[[#This Row],[% Used]])</f>
        <v>7.4280000000000124E-2</v>
      </c>
      <c r="U32" s="4">
        <f>IF(OR(Dashboard_Query[[#This Row],[Monthly Allowance]]="",Dashboard_Query[[#This Row],[Current Usage]]=""),"",MAX(0,Dashboard_Query[[#This Row],[Current Usage]]-Dashboard_Query[[#This Row],[Monthly Allowance]]))</f>
        <v>0</v>
      </c>
      <c r="V32" s="4" t="str">
        <f>IF(Dashboard_Query[[#This Row],[Monthly Allowance]]="","",IF(Dashboard_Query[[#This Row],[Overage]]&gt;0,"OVER",IF(Dashboard_Query[[#This Row],[% Used]]&gt;=0.8,"WARNING","OK")))</f>
        <v>WARNING</v>
      </c>
      <c r="W32" s="1"/>
      <c r="X32" s="1"/>
    </row>
    <row r="33" spans="1:24">
      <c r="A33" s="4" t="s">
        <v>148</v>
      </c>
      <c r="B33" s="4">
        <v>812925</v>
      </c>
      <c r="C33" s="4" t="s">
        <v>126</v>
      </c>
      <c r="D33" s="4" t="s">
        <v>127</v>
      </c>
      <c r="E33" s="4" t="s">
        <v>128</v>
      </c>
      <c r="F33" s="4">
        <v>211121595</v>
      </c>
      <c r="G33" s="6">
        <v>46233</v>
      </c>
      <c r="H33" s="6">
        <v>46233</v>
      </c>
      <c r="I33" s="32">
        <v>46264</v>
      </c>
      <c r="J33" s="1">
        <v>6</v>
      </c>
      <c r="K33" s="4">
        <v>2000</v>
      </c>
      <c r="L33" s="4" t="s">
        <v>122</v>
      </c>
      <c r="M33" s="4" t="s">
        <v>123</v>
      </c>
      <c r="N33" s="6">
        <v>46233</v>
      </c>
      <c r="O33" s="1"/>
      <c r="P33" s="4">
        <v>1578.02</v>
      </c>
      <c r="Q33" s="4">
        <v>1578.02</v>
      </c>
      <c r="R33" s="4">
        <f>IF(
    OR(Dashboard_Query[[#This Row],[Monthly Allowance]]="",Dashboard_Query[[#This Row],[Current Usage]]=""),
    "",
    MAX(0,Dashboard_Query[[#This Row],[Monthly Allowance]]-Dashboard_Query[[#This Row],[Current Usage]])
)</f>
        <v>421.98</v>
      </c>
      <c r="S33" s="9">
        <f>IF(OR(Dashboard_Query[[#This Row],[Monthly Allowance]]="",Dashboard_Query[[#This Row],[Current Usage]]=""),"",Dashboard_Query[[#This Row],[Current Usage]]/Dashboard_Query[[#This Row],[Monthly Allowance]])</f>
        <v>0.78900999999999999</v>
      </c>
      <c r="T33" s="9">
        <f>IF(Dashboard_Query[[#This Row],[% Used]]="","",1-Dashboard_Query[[#This Row],[% Used]])</f>
        <v>0.21099000000000001</v>
      </c>
      <c r="U33" s="4">
        <f>IF(OR(Dashboard_Query[[#This Row],[Monthly Allowance]]="",Dashboard_Query[[#This Row],[Current Usage]]=""),"",MAX(0,Dashboard_Query[[#This Row],[Current Usage]]-Dashboard_Query[[#This Row],[Monthly Allowance]]))</f>
        <v>0</v>
      </c>
      <c r="V33" s="4" t="str">
        <f>IF(Dashboard_Query[[#This Row],[Monthly Allowance]]="","",IF(Dashboard_Query[[#This Row],[Overage]]&gt;0,"OVER",IF(Dashboard_Query[[#This Row],[% Used]]&gt;=0.8,"WARNING","OK")))</f>
        <v>OK</v>
      </c>
      <c r="W33" s="1"/>
      <c r="X33" s="1"/>
    </row>
    <row r="34" spans="1:24">
      <c r="A34" s="4" t="s">
        <v>121</v>
      </c>
      <c r="B34" s="4">
        <v>812926</v>
      </c>
      <c r="C34" s="4" t="s">
        <v>388</v>
      </c>
      <c r="D34" s="4" t="s">
        <v>306</v>
      </c>
      <c r="E34" s="4" t="s">
        <v>389</v>
      </c>
      <c r="F34" s="4">
        <v>211121969</v>
      </c>
      <c r="G34" s="6">
        <v>46246</v>
      </c>
      <c r="H34" s="6">
        <v>46246</v>
      </c>
      <c r="I34" s="32">
        <v>46277</v>
      </c>
      <c r="J34" s="1">
        <v>19</v>
      </c>
      <c r="K34" s="4">
        <v>1000</v>
      </c>
      <c r="L34" s="4" t="s">
        <v>122</v>
      </c>
      <c r="M34" s="4" t="s">
        <v>123</v>
      </c>
      <c r="N34" s="6">
        <v>46246</v>
      </c>
      <c r="O34" s="1"/>
      <c r="P34" s="4">
        <v>781.71</v>
      </c>
      <c r="Q34" s="4">
        <v>781.7</v>
      </c>
      <c r="R34" s="4">
        <f>IF(
    OR(Dashboard_Query[[#This Row],[Monthly Allowance]]="",Dashboard_Query[[#This Row],[Current Usage]]=""),
    "",
    MAX(0,Dashboard_Query[[#This Row],[Monthly Allowance]]-Dashboard_Query[[#This Row],[Current Usage]])
)</f>
        <v>218.29999999999995</v>
      </c>
      <c r="S34" s="9">
        <f>IF(OR(Dashboard_Query[[#This Row],[Monthly Allowance]]="",Dashboard_Query[[#This Row],[Current Usage]]=""),"",Dashboard_Query[[#This Row],[Current Usage]]/Dashboard_Query[[#This Row],[Monthly Allowance]])</f>
        <v>0.78170000000000006</v>
      </c>
      <c r="T34" s="9">
        <f>IF(Dashboard_Query[[#This Row],[% Used]]="","",1-Dashboard_Query[[#This Row],[% Used]])</f>
        <v>0.21829999999999994</v>
      </c>
      <c r="U34" s="4">
        <f>IF(OR(Dashboard_Query[[#This Row],[Monthly Allowance]]="",Dashboard_Query[[#This Row],[Current Usage]]=""),"",MAX(0,Dashboard_Query[[#This Row],[Current Usage]]-Dashboard_Query[[#This Row],[Monthly Allowance]]))</f>
        <v>0</v>
      </c>
      <c r="V34" s="4" t="str">
        <f>IF(Dashboard_Query[[#This Row],[Monthly Allowance]]="","",IF(Dashboard_Query[[#This Row],[Overage]]&gt;0,"OVER",IF(Dashboard_Query[[#This Row],[% Used]]&gt;=0.8,"WARNING","OK")))</f>
        <v>OK</v>
      </c>
      <c r="W34" s="1"/>
      <c r="X34" s="1"/>
    </row>
    <row r="35" spans="1:24">
      <c r="A35" s="4" t="s">
        <v>254</v>
      </c>
      <c r="B35" s="4">
        <v>812847</v>
      </c>
      <c r="C35" s="4" t="s">
        <v>173</v>
      </c>
      <c r="D35" s="4" t="s">
        <v>174</v>
      </c>
      <c r="E35" s="4" t="s">
        <v>175</v>
      </c>
      <c r="F35" s="4">
        <v>211120714</v>
      </c>
      <c r="G35" s="6">
        <v>46204</v>
      </c>
      <c r="H35" s="6">
        <v>46235</v>
      </c>
      <c r="I35" s="32">
        <v>46266</v>
      </c>
      <c r="J35" s="1">
        <v>8</v>
      </c>
      <c r="K35" s="4">
        <v>500</v>
      </c>
      <c r="L35" s="4" t="s">
        <v>122</v>
      </c>
      <c r="M35" s="4" t="s">
        <v>123</v>
      </c>
      <c r="N35" s="6">
        <v>46235</v>
      </c>
      <c r="O35" s="1"/>
      <c r="P35" s="4">
        <v>384.01</v>
      </c>
      <c r="Q35" s="4">
        <v>383.82</v>
      </c>
      <c r="R35" s="4">
        <f>IF(
    OR(Dashboard_Query[[#This Row],[Monthly Allowance]]="",Dashboard_Query[[#This Row],[Current Usage]]=""),
    "",
    MAX(0,Dashboard_Query[[#This Row],[Monthly Allowance]]-Dashboard_Query[[#This Row],[Current Usage]])
)</f>
        <v>116.18</v>
      </c>
      <c r="S35" s="9">
        <f>IF(OR(Dashboard_Query[[#This Row],[Monthly Allowance]]="",Dashboard_Query[[#This Row],[Current Usage]]=""),"",Dashboard_Query[[#This Row],[Current Usage]]/Dashboard_Query[[#This Row],[Monthly Allowance]])</f>
        <v>0.76763999999999999</v>
      </c>
      <c r="T35" s="9">
        <f>IF(Dashboard_Query[[#This Row],[% Used]]="","",1-Dashboard_Query[[#This Row],[% Used]])</f>
        <v>0.23236000000000001</v>
      </c>
      <c r="U35" s="4">
        <f>IF(OR(Dashboard_Query[[#This Row],[Monthly Allowance]]="",Dashboard_Query[[#This Row],[Current Usage]]=""),"",MAX(0,Dashboard_Query[[#This Row],[Current Usage]]-Dashboard_Query[[#This Row],[Monthly Allowance]]))</f>
        <v>0</v>
      </c>
      <c r="V35" s="4" t="str">
        <f>IF(Dashboard_Query[[#This Row],[Monthly Allowance]]="","",IF(Dashboard_Query[[#This Row],[Overage]]&gt;0,"OVER",IF(Dashboard_Query[[#This Row],[% Used]]&gt;=0.8,"WARNING","OK")))</f>
        <v>OK</v>
      </c>
      <c r="W35" s="1"/>
      <c r="X35" s="1"/>
    </row>
    <row r="36" spans="1:24">
      <c r="A36" s="4" t="s">
        <v>125</v>
      </c>
      <c r="B36" s="4">
        <v>812924</v>
      </c>
      <c r="C36" s="4" t="s">
        <v>126</v>
      </c>
      <c r="D36" s="4" t="s">
        <v>127</v>
      </c>
      <c r="E36" s="4" t="s">
        <v>128</v>
      </c>
      <c r="F36" s="4">
        <v>211121595</v>
      </c>
      <c r="G36" s="6">
        <v>46233</v>
      </c>
      <c r="H36" s="6">
        <v>46233</v>
      </c>
      <c r="I36" s="32">
        <v>46264</v>
      </c>
      <c r="J36" s="1">
        <v>6</v>
      </c>
      <c r="K36" s="4">
        <v>3000</v>
      </c>
      <c r="L36" s="4" t="s">
        <v>122</v>
      </c>
      <c r="M36" s="4" t="s">
        <v>123</v>
      </c>
      <c r="N36" s="6">
        <v>46233</v>
      </c>
      <c r="O36" s="1"/>
      <c r="P36" s="4">
        <v>2256.2199999999998</v>
      </c>
      <c r="Q36" s="4">
        <v>2256.2199999999998</v>
      </c>
      <c r="R36" s="4">
        <f>IF(
    OR(Dashboard_Query[[#This Row],[Monthly Allowance]]="",Dashboard_Query[[#This Row],[Current Usage]]=""),
    "",
    MAX(0,Dashboard_Query[[#This Row],[Monthly Allowance]]-Dashboard_Query[[#This Row],[Current Usage]])
)</f>
        <v>743.7800000000002</v>
      </c>
      <c r="S36" s="9">
        <f>IF(OR(Dashboard_Query[[#This Row],[Monthly Allowance]]="",Dashboard_Query[[#This Row],[Current Usage]]=""),"",Dashboard_Query[[#This Row],[Current Usage]]/Dashboard_Query[[#This Row],[Monthly Allowance]])</f>
        <v>0.75207333333333326</v>
      </c>
      <c r="T36" s="9">
        <f>IF(Dashboard_Query[[#This Row],[% Used]]="","",1-Dashboard_Query[[#This Row],[% Used]])</f>
        <v>0.24792666666666674</v>
      </c>
      <c r="U36" s="4">
        <f>IF(OR(Dashboard_Query[[#This Row],[Monthly Allowance]]="",Dashboard_Query[[#This Row],[Current Usage]]=""),"",MAX(0,Dashboard_Query[[#This Row],[Current Usage]]-Dashboard_Query[[#This Row],[Monthly Allowance]]))</f>
        <v>0</v>
      </c>
      <c r="V36" s="4" t="str">
        <f>IF(Dashboard_Query[[#This Row],[Monthly Allowance]]="","",IF(Dashboard_Query[[#This Row],[Overage]]&gt;0,"OVER",IF(Dashboard_Query[[#This Row],[% Used]]&gt;=0.8,"WARNING","OK")))</f>
        <v>OK</v>
      </c>
      <c r="W36" s="1"/>
      <c r="X36" s="1"/>
    </row>
    <row r="37" spans="1:24">
      <c r="A37" s="4" t="s">
        <v>140</v>
      </c>
      <c r="B37" s="4">
        <v>807635</v>
      </c>
      <c r="C37" s="4" t="s">
        <v>141</v>
      </c>
      <c r="D37" s="4" t="s">
        <v>142</v>
      </c>
      <c r="E37" s="4" t="s">
        <v>143</v>
      </c>
      <c r="F37" s="4">
        <v>211118386</v>
      </c>
      <c r="G37" s="6">
        <v>46170</v>
      </c>
      <c r="H37" s="6">
        <v>46231</v>
      </c>
      <c r="I37" s="32">
        <v>46262</v>
      </c>
      <c r="J37" s="1">
        <v>4</v>
      </c>
      <c r="K37" s="4">
        <v>1000</v>
      </c>
      <c r="L37" s="4" t="s">
        <v>122</v>
      </c>
      <c r="M37" s="4" t="s">
        <v>123</v>
      </c>
      <c r="N37" s="6">
        <v>46231</v>
      </c>
      <c r="O37" s="1"/>
      <c r="P37" s="4">
        <v>595.9</v>
      </c>
      <c r="Q37" s="4">
        <v>743.03</v>
      </c>
      <c r="R37" s="4">
        <f>IF(
    OR(Dashboard_Query[[#This Row],[Monthly Allowance]]="",Dashboard_Query[[#This Row],[Current Usage]]=""),
    "",
    MAX(0,Dashboard_Query[[#This Row],[Monthly Allowance]]-Dashboard_Query[[#This Row],[Current Usage]])
)</f>
        <v>256.97000000000003</v>
      </c>
      <c r="S37" s="9">
        <f>IF(OR(Dashboard_Query[[#This Row],[Monthly Allowance]]="",Dashboard_Query[[#This Row],[Current Usage]]=""),"",Dashboard_Query[[#This Row],[Current Usage]]/Dashboard_Query[[#This Row],[Monthly Allowance]])</f>
        <v>0.74302999999999997</v>
      </c>
      <c r="T37" s="9">
        <f>IF(Dashboard_Query[[#This Row],[% Used]]="","",1-Dashboard_Query[[#This Row],[% Used]])</f>
        <v>0.25697000000000003</v>
      </c>
      <c r="U37" s="4">
        <f>IF(OR(Dashboard_Query[[#This Row],[Monthly Allowance]]="",Dashboard_Query[[#This Row],[Current Usage]]=""),"",MAX(0,Dashboard_Query[[#This Row],[Current Usage]]-Dashboard_Query[[#This Row],[Monthly Allowance]]))</f>
        <v>0</v>
      </c>
      <c r="V37" s="4" t="str">
        <f>IF(Dashboard_Query[[#This Row],[Monthly Allowance]]="","",IF(Dashboard_Query[[#This Row],[Overage]]&gt;0,"OVER",IF(Dashboard_Query[[#This Row],[% Used]]&gt;=0.8,"WARNING","OK")))</f>
        <v>OK</v>
      </c>
      <c r="W37" s="1"/>
      <c r="X37" s="1"/>
    </row>
    <row r="38" spans="1:24">
      <c r="A38" s="4" t="s">
        <v>202</v>
      </c>
      <c r="B38" s="4">
        <v>809605</v>
      </c>
      <c r="C38" s="4" t="s">
        <v>203</v>
      </c>
      <c r="D38" s="4" t="s">
        <v>204</v>
      </c>
      <c r="E38" s="4" t="s">
        <v>205</v>
      </c>
      <c r="F38" s="4">
        <v>211120610</v>
      </c>
      <c r="G38" s="6">
        <v>46202</v>
      </c>
      <c r="H38" s="6">
        <v>46232</v>
      </c>
      <c r="I38" s="32">
        <v>46263</v>
      </c>
      <c r="J38" s="1">
        <v>5</v>
      </c>
      <c r="K38" s="4">
        <v>1000</v>
      </c>
      <c r="L38" s="4" t="s">
        <v>122</v>
      </c>
      <c r="M38" s="4" t="s">
        <v>123</v>
      </c>
      <c r="N38" s="6">
        <v>46232</v>
      </c>
      <c r="O38" s="1"/>
      <c r="P38" s="4">
        <v>694.99</v>
      </c>
      <c r="Q38" s="4">
        <v>713.43000000000006</v>
      </c>
      <c r="R38" s="4">
        <f>IF(
    OR(Dashboard_Query[[#This Row],[Monthly Allowance]]="",Dashboard_Query[[#This Row],[Current Usage]]=""),
    "",
    MAX(0,Dashboard_Query[[#This Row],[Monthly Allowance]]-Dashboard_Query[[#This Row],[Current Usage]])
)</f>
        <v>286.56999999999994</v>
      </c>
      <c r="S38" s="9">
        <f>IF(OR(Dashboard_Query[[#This Row],[Monthly Allowance]]="",Dashboard_Query[[#This Row],[Current Usage]]=""),"",Dashboard_Query[[#This Row],[Current Usage]]/Dashboard_Query[[#This Row],[Monthly Allowance]])</f>
        <v>0.71343000000000001</v>
      </c>
      <c r="T38" s="9">
        <f>IF(Dashboard_Query[[#This Row],[% Used]]="","",1-Dashboard_Query[[#This Row],[% Used]])</f>
        <v>0.28656999999999999</v>
      </c>
      <c r="U38" s="4">
        <f>IF(OR(Dashboard_Query[[#This Row],[Monthly Allowance]]="",Dashboard_Query[[#This Row],[Current Usage]]=""),"",MAX(0,Dashboard_Query[[#This Row],[Current Usage]]-Dashboard_Query[[#This Row],[Monthly Allowance]]))</f>
        <v>0</v>
      </c>
      <c r="V38" s="4" t="str">
        <f>IF(Dashboard_Query[[#This Row],[Monthly Allowance]]="","",IF(Dashboard_Query[[#This Row],[Overage]]&gt;0,"OVER",IF(Dashboard_Query[[#This Row],[% Used]]&gt;=0.8,"WARNING","OK")))</f>
        <v>OK</v>
      </c>
      <c r="W38" s="1"/>
      <c r="X38" s="1"/>
    </row>
    <row r="39" spans="1:24" hidden="1">
      <c r="A39" s="4" t="s">
        <v>166</v>
      </c>
      <c r="B39" s="4">
        <v>814641</v>
      </c>
      <c r="C39" s="4"/>
      <c r="D39" s="4"/>
      <c r="E39" s="4"/>
      <c r="F39" s="4"/>
      <c r="G39" s="6"/>
      <c r="H39" s="6"/>
      <c r="I39" s="32"/>
      <c r="J39" s="1"/>
      <c r="K39" s="4">
        <v>1000</v>
      </c>
      <c r="L39" s="4" t="s">
        <v>122</v>
      </c>
      <c r="M39" s="4" t="s">
        <v>35</v>
      </c>
      <c r="N39" s="6"/>
      <c r="O39" s="1"/>
      <c r="P39" s="4">
        <v>491.43</v>
      </c>
      <c r="Q39" s="4">
        <v>670.27</v>
      </c>
      <c r="R39" s="4">
        <f>IF(
    OR(Dashboard_Query[[#This Row],[Monthly Allowance]]="",Dashboard_Query[[#This Row],[Current Usage]]=""),
    "",
    MAX(0,Dashboard_Query[[#This Row],[Monthly Allowance]]-Dashboard_Query[[#This Row],[Current Usage]])
)</f>
        <v>329.73</v>
      </c>
      <c r="S39" s="9">
        <f>IF(OR(Dashboard_Query[[#This Row],[Monthly Allowance]]="",Dashboard_Query[[#This Row],[Current Usage]]=""),"",Dashboard_Query[[#This Row],[Current Usage]]/Dashboard_Query[[#This Row],[Monthly Allowance]])</f>
        <v>0.67027000000000003</v>
      </c>
      <c r="T39" s="9">
        <f>IF(Dashboard_Query[[#This Row],[% Used]]="","",1-Dashboard_Query[[#This Row],[% Used]])</f>
        <v>0.32972999999999997</v>
      </c>
      <c r="U39" s="4">
        <f>IF(OR(Dashboard_Query[[#This Row],[Monthly Allowance]]="",Dashboard_Query[[#This Row],[Current Usage]]=""),"",MAX(0,Dashboard_Query[[#This Row],[Current Usage]]-Dashboard_Query[[#This Row],[Monthly Allowance]]))</f>
        <v>0</v>
      </c>
      <c r="V39" s="4" t="str">
        <f>IF(Dashboard_Query[[#This Row],[Monthly Allowance]]="","",IF(Dashboard_Query[[#This Row],[Overage]]&gt;0,"OVER",IF(Dashboard_Query[[#This Row],[% Used]]&gt;=0.8,"WARNING","OK")))</f>
        <v>OK</v>
      </c>
      <c r="W39" s="1"/>
      <c r="X39" s="1"/>
    </row>
    <row r="40" spans="1:24">
      <c r="A40" s="4" t="s">
        <v>171</v>
      </c>
      <c r="B40" s="4">
        <v>814433</v>
      </c>
      <c r="C40" s="4" t="s">
        <v>137</v>
      </c>
      <c r="D40" s="4" t="s">
        <v>138</v>
      </c>
      <c r="E40" s="4" t="s">
        <v>139</v>
      </c>
      <c r="F40" s="4">
        <v>211121030</v>
      </c>
      <c r="G40" s="6">
        <v>46217</v>
      </c>
      <c r="H40" s="6">
        <v>46248</v>
      </c>
      <c r="I40" s="32">
        <v>46279</v>
      </c>
      <c r="J40" s="1">
        <v>21</v>
      </c>
      <c r="K40" s="4">
        <v>500</v>
      </c>
      <c r="L40" s="4" t="s">
        <v>122</v>
      </c>
      <c r="M40" s="4" t="s">
        <v>123</v>
      </c>
      <c r="N40" s="6">
        <v>46248</v>
      </c>
      <c r="O40" s="1"/>
      <c r="P40" s="4">
        <v>554.63</v>
      </c>
      <c r="Q40" s="4">
        <v>326.51</v>
      </c>
      <c r="R40" s="4">
        <f>IF(
    OR(Dashboard_Query[[#This Row],[Monthly Allowance]]="",Dashboard_Query[[#This Row],[Current Usage]]=""),
    "",
    MAX(0,Dashboard_Query[[#This Row],[Monthly Allowance]]-Dashboard_Query[[#This Row],[Current Usage]])
)</f>
        <v>173.49</v>
      </c>
      <c r="S40" s="9">
        <f>IF(OR(Dashboard_Query[[#This Row],[Monthly Allowance]]="",Dashboard_Query[[#This Row],[Current Usage]]=""),"",Dashboard_Query[[#This Row],[Current Usage]]/Dashboard_Query[[#This Row],[Monthly Allowance]])</f>
        <v>0.65301999999999993</v>
      </c>
      <c r="T40" s="9">
        <f>IF(Dashboard_Query[[#This Row],[% Used]]="","",1-Dashboard_Query[[#This Row],[% Used]])</f>
        <v>0.34698000000000007</v>
      </c>
      <c r="U40" s="4">
        <f>IF(OR(Dashboard_Query[[#This Row],[Monthly Allowance]]="",Dashboard_Query[[#This Row],[Current Usage]]=""),"",MAX(0,Dashboard_Query[[#This Row],[Current Usage]]-Dashboard_Query[[#This Row],[Monthly Allowance]]))</f>
        <v>0</v>
      </c>
      <c r="V40" s="4" t="str">
        <f>IF(Dashboard_Query[[#This Row],[Monthly Allowance]]="","",IF(Dashboard_Query[[#This Row],[Overage]]&gt;0,"OVER",IF(Dashboard_Query[[#This Row],[% Used]]&gt;=0.8,"WARNING","OK")))</f>
        <v>OK</v>
      </c>
      <c r="W40" s="1"/>
      <c r="X40" s="1"/>
    </row>
    <row r="41" spans="1:24" ht="14.25" hidden="1" customHeight="1">
      <c r="A41" s="4" t="s">
        <v>133</v>
      </c>
      <c r="B41" s="4">
        <v>814609</v>
      </c>
      <c r="C41" s="4"/>
      <c r="D41" s="4"/>
      <c r="E41" s="4"/>
      <c r="F41" s="4"/>
      <c r="G41" s="6"/>
      <c r="H41" s="6"/>
      <c r="I41" s="32"/>
      <c r="J41" s="1"/>
      <c r="K41" s="4">
        <v>1000</v>
      </c>
      <c r="L41" s="4" t="s">
        <v>122</v>
      </c>
      <c r="M41" s="4" t="s">
        <v>35</v>
      </c>
      <c r="N41" s="6"/>
      <c r="O41" s="1"/>
      <c r="P41" s="4">
        <v>579.41999999999996</v>
      </c>
      <c r="Q41" s="4">
        <v>617.93999999999994</v>
      </c>
      <c r="R41" s="4">
        <f>IF(
    OR(Dashboard_Query[[#This Row],[Monthly Allowance]]="",Dashboard_Query[[#This Row],[Current Usage]]=""),
    "",
    MAX(0,Dashboard_Query[[#This Row],[Monthly Allowance]]-Dashboard_Query[[#This Row],[Current Usage]])
)</f>
        <v>382.06000000000006</v>
      </c>
      <c r="S41" s="9">
        <f>IF(OR(Dashboard_Query[[#This Row],[Monthly Allowance]]="",Dashboard_Query[[#This Row],[Current Usage]]=""),"",Dashboard_Query[[#This Row],[Current Usage]]/Dashboard_Query[[#This Row],[Monthly Allowance]])</f>
        <v>0.61793999999999993</v>
      </c>
      <c r="T41" s="9">
        <f>IF(Dashboard_Query[[#This Row],[% Used]]="","",1-Dashboard_Query[[#This Row],[% Used]])</f>
        <v>0.38206000000000007</v>
      </c>
      <c r="U41" s="4">
        <f>IF(OR(Dashboard_Query[[#This Row],[Monthly Allowance]]="",Dashboard_Query[[#This Row],[Current Usage]]=""),"",MAX(0,Dashboard_Query[[#This Row],[Current Usage]]-Dashboard_Query[[#This Row],[Monthly Allowance]]))</f>
        <v>0</v>
      </c>
      <c r="V41" s="4" t="str">
        <f>IF(Dashboard_Query[[#This Row],[Monthly Allowance]]="","",IF(Dashboard_Query[[#This Row],[Overage]]&gt;0,"OVER",IF(Dashboard_Query[[#This Row],[% Used]]&gt;=0.8,"WARNING","OK")))</f>
        <v>OK</v>
      </c>
      <c r="W41" s="1"/>
      <c r="X41" s="1"/>
    </row>
    <row r="42" spans="1:24">
      <c r="A42" s="4" t="s">
        <v>48</v>
      </c>
      <c r="B42" s="4">
        <v>816225</v>
      </c>
      <c r="C42" s="4" t="s">
        <v>388</v>
      </c>
      <c r="D42" s="4" t="s">
        <v>306</v>
      </c>
      <c r="E42" s="4" t="s">
        <v>389</v>
      </c>
      <c r="F42" s="4">
        <v>211121969</v>
      </c>
      <c r="G42" s="6">
        <v>46246</v>
      </c>
      <c r="H42" s="6">
        <v>46246</v>
      </c>
      <c r="I42" s="32">
        <v>46277</v>
      </c>
      <c r="J42" s="1">
        <v>19</v>
      </c>
      <c r="K42" s="4">
        <v>1000</v>
      </c>
      <c r="L42" s="4" t="s">
        <v>122</v>
      </c>
      <c r="M42" s="4" t="s">
        <v>123</v>
      </c>
      <c r="N42" s="6">
        <v>46246</v>
      </c>
      <c r="O42" s="1"/>
      <c r="P42" s="4">
        <v>603.4</v>
      </c>
      <c r="Q42" s="4">
        <v>603.29</v>
      </c>
      <c r="R42" s="4">
        <f>IF(
    OR(Dashboard_Query[[#This Row],[Monthly Allowance]]="",Dashboard_Query[[#This Row],[Current Usage]]=""),
    "",
    MAX(0,Dashboard_Query[[#This Row],[Monthly Allowance]]-Dashboard_Query[[#This Row],[Current Usage]])
)</f>
        <v>396.71000000000004</v>
      </c>
      <c r="S42" s="9">
        <f>IF(OR(Dashboard_Query[[#This Row],[Monthly Allowance]]="",Dashboard_Query[[#This Row],[Current Usage]]=""),"",Dashboard_Query[[#This Row],[Current Usage]]/Dashboard_Query[[#This Row],[Monthly Allowance]])</f>
        <v>0.60328999999999999</v>
      </c>
      <c r="T42" s="9">
        <f>IF(Dashboard_Query[[#This Row],[% Used]]="","",1-Dashboard_Query[[#This Row],[% Used]])</f>
        <v>0.39671000000000001</v>
      </c>
      <c r="U42" s="4">
        <f>IF(OR(Dashboard_Query[[#This Row],[Monthly Allowance]]="",Dashboard_Query[[#This Row],[Current Usage]]=""),"",MAX(0,Dashboard_Query[[#This Row],[Current Usage]]-Dashboard_Query[[#This Row],[Monthly Allowance]]))</f>
        <v>0</v>
      </c>
      <c r="V42" s="4" t="str">
        <f>IF(Dashboard_Query[[#This Row],[Monthly Allowance]]="","",IF(Dashboard_Query[[#This Row],[Overage]]&gt;0,"OVER",IF(Dashboard_Query[[#This Row],[% Used]]&gt;=0.8,"WARNING","OK")))</f>
        <v>OK</v>
      </c>
      <c r="W42" s="1"/>
      <c r="X42" s="1"/>
    </row>
    <row r="43" spans="1:24">
      <c r="A43" s="4" t="s">
        <v>185</v>
      </c>
      <c r="B43" s="4">
        <v>810644</v>
      </c>
      <c r="C43" s="4" t="s">
        <v>186</v>
      </c>
      <c r="D43" s="4" t="s">
        <v>187</v>
      </c>
      <c r="E43" s="4" t="s">
        <v>188</v>
      </c>
      <c r="F43" s="4">
        <v>211121633</v>
      </c>
      <c r="G43" s="6">
        <v>46237</v>
      </c>
      <c r="H43" s="6">
        <v>46237</v>
      </c>
      <c r="I43" s="32">
        <v>46268</v>
      </c>
      <c r="J43" s="1">
        <v>10</v>
      </c>
      <c r="K43" s="4">
        <v>500</v>
      </c>
      <c r="L43" s="4" t="s">
        <v>122</v>
      </c>
      <c r="M43" s="4" t="s">
        <v>123</v>
      </c>
      <c r="N43" s="6">
        <v>46237</v>
      </c>
      <c r="O43" s="1"/>
      <c r="P43" s="4">
        <v>296.73</v>
      </c>
      <c r="Q43" s="4">
        <v>296.73</v>
      </c>
      <c r="R43" s="4">
        <f>IF(
    OR(Dashboard_Query[[#This Row],[Monthly Allowance]]="",Dashboard_Query[[#This Row],[Current Usage]]=""),
    "",
    MAX(0,Dashboard_Query[[#This Row],[Monthly Allowance]]-Dashboard_Query[[#This Row],[Current Usage]])
)</f>
        <v>203.26999999999998</v>
      </c>
      <c r="S43" s="9">
        <f>IF(OR(Dashboard_Query[[#This Row],[Monthly Allowance]]="",Dashboard_Query[[#This Row],[Current Usage]]=""),"",Dashboard_Query[[#This Row],[Current Usage]]/Dashboard_Query[[#This Row],[Monthly Allowance]])</f>
        <v>0.59345999999999999</v>
      </c>
      <c r="T43" s="9">
        <f>IF(Dashboard_Query[[#This Row],[% Used]]="","",1-Dashboard_Query[[#This Row],[% Used]])</f>
        <v>0.40654000000000001</v>
      </c>
      <c r="U43" s="4">
        <f>IF(OR(Dashboard_Query[[#This Row],[Monthly Allowance]]="",Dashboard_Query[[#This Row],[Current Usage]]=""),"",MAX(0,Dashboard_Query[[#This Row],[Current Usage]]-Dashboard_Query[[#This Row],[Monthly Allowance]]))</f>
        <v>0</v>
      </c>
      <c r="V43" s="4" t="str">
        <f>IF(Dashboard_Query[[#This Row],[Monthly Allowance]]="","",IF(Dashboard_Query[[#This Row],[Overage]]&gt;0,"OVER",IF(Dashboard_Query[[#This Row],[% Used]]&gt;=0.8,"WARNING","OK")))</f>
        <v>OK</v>
      </c>
      <c r="W43" s="1"/>
      <c r="X43" s="1"/>
    </row>
    <row r="44" spans="1:24">
      <c r="A44" s="4" t="s">
        <v>157</v>
      </c>
      <c r="B44" s="4">
        <v>812930</v>
      </c>
      <c r="C44" s="4" t="s">
        <v>126</v>
      </c>
      <c r="D44" s="4" t="s">
        <v>127</v>
      </c>
      <c r="E44" s="4" t="s">
        <v>128</v>
      </c>
      <c r="F44" s="4">
        <v>211121595</v>
      </c>
      <c r="G44" s="6">
        <v>46233</v>
      </c>
      <c r="H44" s="6">
        <v>46233</v>
      </c>
      <c r="I44" s="32">
        <v>46264</v>
      </c>
      <c r="J44" s="1">
        <v>6</v>
      </c>
      <c r="K44" s="4">
        <v>2000</v>
      </c>
      <c r="L44" s="4" t="s">
        <v>122</v>
      </c>
      <c r="M44" s="4" t="s">
        <v>123</v>
      </c>
      <c r="N44" s="6">
        <v>46233</v>
      </c>
      <c r="O44" s="1"/>
      <c r="P44" s="4">
        <v>1061.9100000000001</v>
      </c>
      <c r="Q44" s="4">
        <v>1061.9500000000003</v>
      </c>
      <c r="R44" s="4">
        <f>IF(
    OR(Dashboard_Query[[#This Row],[Monthly Allowance]]="",Dashboard_Query[[#This Row],[Current Usage]]=""),
    "",
    MAX(0,Dashboard_Query[[#This Row],[Monthly Allowance]]-Dashboard_Query[[#This Row],[Current Usage]])
)</f>
        <v>938.04999999999973</v>
      </c>
      <c r="S44" s="9">
        <f>IF(OR(Dashboard_Query[[#This Row],[Monthly Allowance]]="",Dashboard_Query[[#This Row],[Current Usage]]=""),"",Dashboard_Query[[#This Row],[Current Usage]]/Dashboard_Query[[#This Row],[Monthly Allowance]])</f>
        <v>0.53097500000000009</v>
      </c>
      <c r="T44" s="9">
        <f>IF(Dashboard_Query[[#This Row],[% Used]]="","",1-Dashboard_Query[[#This Row],[% Used]])</f>
        <v>0.46902499999999991</v>
      </c>
      <c r="U44" s="4">
        <f>IF(OR(Dashboard_Query[[#This Row],[Monthly Allowance]]="",Dashboard_Query[[#This Row],[Current Usage]]=""),"",MAX(0,Dashboard_Query[[#This Row],[Current Usage]]-Dashboard_Query[[#This Row],[Monthly Allowance]]))</f>
        <v>0</v>
      </c>
      <c r="V44" s="4" t="str">
        <f>IF(Dashboard_Query[[#This Row],[Monthly Allowance]]="","",IF(Dashboard_Query[[#This Row],[Overage]]&gt;0,"OVER",IF(Dashboard_Query[[#This Row],[% Used]]&gt;=0.8,"WARNING","OK")))</f>
        <v>OK</v>
      </c>
      <c r="W44" s="1"/>
      <c r="X44" s="1"/>
    </row>
    <row r="45" spans="1:24">
      <c r="A45" s="4" t="s">
        <v>328</v>
      </c>
      <c r="B45" s="4">
        <v>812825</v>
      </c>
      <c r="C45" s="4" t="s">
        <v>385</v>
      </c>
      <c r="D45" s="4" t="s">
        <v>391</v>
      </c>
      <c r="E45" s="4" t="s">
        <v>390</v>
      </c>
      <c r="F45" s="4">
        <v>211121838</v>
      </c>
      <c r="G45" s="6">
        <v>46241</v>
      </c>
      <c r="H45" s="6">
        <v>46241</v>
      </c>
      <c r="I45" s="32">
        <v>46272</v>
      </c>
      <c r="J45" s="1">
        <v>14</v>
      </c>
      <c r="K45" s="4">
        <v>500</v>
      </c>
      <c r="L45" s="4" t="s">
        <v>122</v>
      </c>
      <c r="M45" s="4" t="s">
        <v>123</v>
      </c>
      <c r="N45" s="6">
        <v>46241</v>
      </c>
      <c r="O45" s="1"/>
      <c r="P45" s="4">
        <v>254.32</v>
      </c>
      <c r="Q45" s="4">
        <v>254.32</v>
      </c>
      <c r="R45" s="4">
        <f>IF(
    OR(Dashboard_Query[[#This Row],[Monthly Allowance]]="",Dashboard_Query[[#This Row],[Current Usage]]=""),
    "",
    MAX(0,Dashboard_Query[[#This Row],[Monthly Allowance]]-Dashboard_Query[[#This Row],[Current Usage]])
)</f>
        <v>245.68</v>
      </c>
      <c r="S45" s="9">
        <f>IF(OR(Dashboard_Query[[#This Row],[Monthly Allowance]]="",Dashboard_Query[[#This Row],[Current Usage]]=""),"",Dashboard_Query[[#This Row],[Current Usage]]/Dashboard_Query[[#This Row],[Monthly Allowance]])</f>
        <v>0.50863999999999998</v>
      </c>
      <c r="T45" s="9">
        <f>IF(Dashboard_Query[[#This Row],[% Used]]="","",1-Dashboard_Query[[#This Row],[% Used]])</f>
        <v>0.49136000000000002</v>
      </c>
      <c r="U45" s="4">
        <f>IF(OR(Dashboard_Query[[#This Row],[Monthly Allowance]]="",Dashboard_Query[[#This Row],[Current Usage]]=""),"",MAX(0,Dashboard_Query[[#This Row],[Current Usage]]-Dashboard_Query[[#This Row],[Monthly Allowance]]))</f>
        <v>0</v>
      </c>
      <c r="V45" s="4" t="str">
        <f>IF(Dashboard_Query[[#This Row],[Monthly Allowance]]="","",IF(Dashboard_Query[[#This Row],[Overage]]&gt;0,"OVER",IF(Dashboard_Query[[#This Row],[% Used]]&gt;=0.8,"WARNING","OK")))</f>
        <v>OK</v>
      </c>
      <c r="W45" s="1"/>
      <c r="X45" s="1"/>
    </row>
    <row r="46" spans="1:24" hidden="1">
      <c r="A46" s="4" t="s">
        <v>147</v>
      </c>
      <c r="B46" s="4">
        <v>809614</v>
      </c>
      <c r="C46" s="4"/>
      <c r="D46" s="4"/>
      <c r="E46" s="4"/>
      <c r="F46" s="4"/>
      <c r="G46" s="6"/>
      <c r="H46" s="6"/>
      <c r="I46" s="32"/>
      <c r="J46" s="1"/>
      <c r="K46" s="4">
        <v>500</v>
      </c>
      <c r="L46" s="4" t="s">
        <v>122</v>
      </c>
      <c r="M46" s="4" t="s">
        <v>35</v>
      </c>
      <c r="N46" s="6"/>
      <c r="O46" s="1"/>
      <c r="P46" s="4">
        <v>251.27</v>
      </c>
      <c r="Q46" s="4">
        <v>251.41</v>
      </c>
      <c r="R46" s="4">
        <f>IF(
    OR(Dashboard_Query[[#This Row],[Monthly Allowance]]="",Dashboard_Query[[#This Row],[Current Usage]]=""),
    "",
    MAX(0,Dashboard_Query[[#This Row],[Monthly Allowance]]-Dashboard_Query[[#This Row],[Current Usage]])
)</f>
        <v>248.59</v>
      </c>
      <c r="S46" s="9">
        <f>IF(OR(Dashboard_Query[[#This Row],[Monthly Allowance]]="",Dashboard_Query[[#This Row],[Current Usage]]=""),"",Dashboard_Query[[#This Row],[Current Usage]]/Dashboard_Query[[#This Row],[Monthly Allowance]])</f>
        <v>0.50282000000000004</v>
      </c>
      <c r="T46" s="9">
        <f>IF(Dashboard_Query[[#This Row],[% Used]]="","",1-Dashboard_Query[[#This Row],[% Used]])</f>
        <v>0.49717999999999996</v>
      </c>
      <c r="U46" s="4">
        <f>IF(OR(Dashboard_Query[[#This Row],[Monthly Allowance]]="",Dashboard_Query[[#This Row],[Current Usage]]=""),"",MAX(0,Dashboard_Query[[#This Row],[Current Usage]]-Dashboard_Query[[#This Row],[Monthly Allowance]]))</f>
        <v>0</v>
      </c>
      <c r="V46" s="4" t="str">
        <f>IF(Dashboard_Query[[#This Row],[Monthly Allowance]]="","",IF(Dashboard_Query[[#This Row],[Overage]]&gt;0,"OVER",IF(Dashboard_Query[[#This Row],[% Used]]&gt;=0.8,"WARNING","OK")))</f>
        <v>OK</v>
      </c>
      <c r="W46" s="1"/>
      <c r="X46" s="1"/>
    </row>
    <row r="47" spans="1:24" ht="15" customHeight="1">
      <c r="A47" s="4" t="s">
        <v>226</v>
      </c>
      <c r="B47" s="4">
        <v>809607</v>
      </c>
      <c r="C47" s="4" t="s">
        <v>383</v>
      </c>
      <c r="D47" s="4" t="s">
        <v>180</v>
      </c>
      <c r="E47" s="4" t="s">
        <v>384</v>
      </c>
      <c r="F47" s="4">
        <v>211121827</v>
      </c>
      <c r="G47" s="6">
        <v>46241</v>
      </c>
      <c r="H47" s="6">
        <v>46241</v>
      </c>
      <c r="I47" s="32">
        <v>46272</v>
      </c>
      <c r="J47" s="1">
        <v>14</v>
      </c>
      <c r="K47" s="4">
        <v>500</v>
      </c>
      <c r="L47" s="4" t="s">
        <v>122</v>
      </c>
      <c r="M47" s="4" t="s">
        <v>123</v>
      </c>
      <c r="N47" s="6">
        <v>46241</v>
      </c>
      <c r="O47" s="1"/>
      <c r="P47" s="4">
        <v>246.3</v>
      </c>
      <c r="Q47" s="4">
        <v>240.88000000000002</v>
      </c>
      <c r="R47" s="4">
        <f>IF(
    OR(Dashboard_Query[[#This Row],[Monthly Allowance]]="",Dashboard_Query[[#This Row],[Current Usage]]=""),
    "",
    MAX(0,Dashboard_Query[[#This Row],[Monthly Allowance]]-Dashboard_Query[[#This Row],[Current Usage]])
)</f>
        <v>259.12</v>
      </c>
      <c r="S47" s="9">
        <f>IF(OR(Dashboard_Query[[#This Row],[Monthly Allowance]]="",Dashboard_Query[[#This Row],[Current Usage]]=""),"",Dashboard_Query[[#This Row],[Current Usage]]/Dashboard_Query[[#This Row],[Monthly Allowance]])</f>
        <v>0.48176000000000002</v>
      </c>
      <c r="T47" s="9">
        <f>IF(Dashboard_Query[[#This Row],[% Used]]="","",1-Dashboard_Query[[#This Row],[% Used]])</f>
        <v>0.51824000000000003</v>
      </c>
      <c r="U47" s="4">
        <f>IF(OR(Dashboard_Query[[#This Row],[Monthly Allowance]]="",Dashboard_Query[[#This Row],[Current Usage]]=""),"",MAX(0,Dashboard_Query[[#This Row],[Current Usage]]-Dashboard_Query[[#This Row],[Monthly Allowance]]))</f>
        <v>0</v>
      </c>
      <c r="V47" s="4" t="str">
        <f>IF(Dashboard_Query[[#This Row],[Monthly Allowance]]="","",IF(Dashboard_Query[[#This Row],[Overage]]&gt;0,"OVER",IF(Dashboard_Query[[#This Row],[% Used]]&gt;=0.8,"WARNING","OK")))</f>
        <v>OK</v>
      </c>
      <c r="W47" s="1"/>
      <c r="X47" s="1"/>
    </row>
    <row r="48" spans="1:24">
      <c r="A48" s="4" t="s">
        <v>334</v>
      </c>
      <c r="B48" s="4">
        <v>812820</v>
      </c>
      <c r="C48" s="4" t="s">
        <v>388</v>
      </c>
      <c r="D48" s="4" t="s">
        <v>306</v>
      </c>
      <c r="E48" s="4" t="s">
        <v>389</v>
      </c>
      <c r="F48" s="4">
        <v>211121969</v>
      </c>
      <c r="G48" s="6">
        <v>46246</v>
      </c>
      <c r="H48" s="6">
        <v>46246</v>
      </c>
      <c r="I48" s="32">
        <v>46277</v>
      </c>
      <c r="J48" s="1">
        <v>19</v>
      </c>
      <c r="K48" s="4">
        <v>500</v>
      </c>
      <c r="L48" s="4" t="s">
        <v>122</v>
      </c>
      <c r="M48" s="4" t="s">
        <v>123</v>
      </c>
      <c r="N48" s="6">
        <v>46246</v>
      </c>
      <c r="O48" s="1"/>
      <c r="P48" s="4">
        <v>220.94</v>
      </c>
      <c r="Q48" s="4">
        <v>220.9</v>
      </c>
      <c r="R48" s="4">
        <f>IF(
    OR(Dashboard_Query[[#This Row],[Monthly Allowance]]="",Dashboard_Query[[#This Row],[Current Usage]]=""),
    "",
    MAX(0,Dashboard_Query[[#This Row],[Monthly Allowance]]-Dashboard_Query[[#This Row],[Current Usage]])
)</f>
        <v>279.10000000000002</v>
      </c>
      <c r="S48" s="9">
        <f>IF(OR(Dashboard_Query[[#This Row],[Monthly Allowance]]="",Dashboard_Query[[#This Row],[Current Usage]]=""),"",Dashboard_Query[[#This Row],[Current Usage]]/Dashboard_Query[[#This Row],[Monthly Allowance]])</f>
        <v>0.44180000000000003</v>
      </c>
      <c r="T48" s="9">
        <f>IF(Dashboard_Query[[#This Row],[% Used]]="","",1-Dashboard_Query[[#This Row],[% Used]])</f>
        <v>0.55820000000000003</v>
      </c>
      <c r="U48" s="4">
        <f>IF(OR(Dashboard_Query[[#This Row],[Monthly Allowance]]="",Dashboard_Query[[#This Row],[Current Usage]]=""),"",MAX(0,Dashboard_Query[[#This Row],[Current Usage]]-Dashboard_Query[[#This Row],[Monthly Allowance]]))</f>
        <v>0</v>
      </c>
      <c r="V48" s="4" t="str">
        <f>IF(Dashboard_Query[[#This Row],[Monthly Allowance]]="","",IF(Dashboard_Query[[#This Row],[Overage]]&gt;0,"OVER",IF(Dashboard_Query[[#This Row],[% Used]]&gt;=0.8,"WARNING","OK")))</f>
        <v>OK</v>
      </c>
      <c r="W48" s="1"/>
      <c r="X48" s="1"/>
    </row>
    <row r="49" spans="1:24">
      <c r="A49" s="4" t="s">
        <v>151</v>
      </c>
      <c r="B49" s="4">
        <v>812842</v>
      </c>
      <c r="C49" s="4" t="s">
        <v>152</v>
      </c>
      <c r="D49" s="4" t="s">
        <v>153</v>
      </c>
      <c r="E49" s="4" t="s">
        <v>154</v>
      </c>
      <c r="F49" s="4">
        <v>211120865</v>
      </c>
      <c r="G49" s="6">
        <v>46211</v>
      </c>
      <c r="H49" s="6">
        <v>46242</v>
      </c>
      <c r="I49" s="32">
        <v>46273</v>
      </c>
      <c r="J49" s="1">
        <v>15</v>
      </c>
      <c r="K49" s="4">
        <v>500</v>
      </c>
      <c r="L49" s="4" t="s">
        <v>122</v>
      </c>
      <c r="M49" s="4" t="s">
        <v>123</v>
      </c>
      <c r="N49" s="6">
        <v>46242</v>
      </c>
      <c r="O49" s="1"/>
      <c r="P49" s="4">
        <v>380.11</v>
      </c>
      <c r="Q49" s="4">
        <v>211.74</v>
      </c>
      <c r="R49" s="4">
        <f>IF(
    OR(Dashboard_Query[[#This Row],[Monthly Allowance]]="",Dashboard_Query[[#This Row],[Current Usage]]=""),
    "",
    MAX(0,Dashboard_Query[[#This Row],[Monthly Allowance]]-Dashboard_Query[[#This Row],[Current Usage]])
)</f>
        <v>288.26</v>
      </c>
      <c r="S49" s="9">
        <f>IF(OR(Dashboard_Query[[#This Row],[Monthly Allowance]]="",Dashboard_Query[[#This Row],[Current Usage]]=""),"",Dashboard_Query[[#This Row],[Current Usage]]/Dashboard_Query[[#This Row],[Monthly Allowance]])</f>
        <v>0.42348000000000002</v>
      </c>
      <c r="T49" s="9">
        <f>IF(Dashboard_Query[[#This Row],[% Used]]="","",1-Dashboard_Query[[#This Row],[% Used]])</f>
        <v>0.57651999999999992</v>
      </c>
      <c r="U49" s="4">
        <f>IF(OR(Dashboard_Query[[#This Row],[Monthly Allowance]]="",Dashboard_Query[[#This Row],[Current Usage]]=""),"",MAX(0,Dashboard_Query[[#This Row],[Current Usage]]-Dashboard_Query[[#This Row],[Monthly Allowance]]))</f>
        <v>0</v>
      </c>
      <c r="V49" s="4" t="str">
        <f>IF(Dashboard_Query[[#This Row],[Monthly Allowance]]="","",IF(Dashboard_Query[[#This Row],[Overage]]&gt;0,"OVER",IF(Dashboard_Query[[#This Row],[% Used]]&gt;=0.8,"WARNING","OK")))</f>
        <v>OK</v>
      </c>
      <c r="W49" s="1"/>
      <c r="X49" s="1"/>
    </row>
    <row r="50" spans="1:24">
      <c r="A50" s="4" t="s">
        <v>61</v>
      </c>
      <c r="B50" s="4">
        <v>816228</v>
      </c>
      <c r="C50" s="4" t="s">
        <v>392</v>
      </c>
      <c r="D50" s="4" t="s">
        <v>393</v>
      </c>
      <c r="E50" s="4" t="s">
        <v>394</v>
      </c>
      <c r="F50" s="4">
        <v>211122081</v>
      </c>
      <c r="G50" s="6">
        <v>46248</v>
      </c>
      <c r="H50" s="6">
        <v>46248</v>
      </c>
      <c r="I50" s="32">
        <v>46279</v>
      </c>
      <c r="J50" s="1">
        <v>21</v>
      </c>
      <c r="K50" s="4">
        <v>1000</v>
      </c>
      <c r="L50" s="4" t="s">
        <v>122</v>
      </c>
      <c r="M50" s="4" t="s">
        <v>123</v>
      </c>
      <c r="N50" s="6">
        <v>46248</v>
      </c>
      <c r="O50" s="1"/>
      <c r="P50" s="4">
        <v>420.36</v>
      </c>
      <c r="Q50" s="4">
        <v>420.32</v>
      </c>
      <c r="R50" s="4">
        <f>IF(
    OR(Dashboard_Query[[#This Row],[Monthly Allowance]]="",Dashboard_Query[[#This Row],[Current Usage]]=""),
    "",
    MAX(0,Dashboard_Query[[#This Row],[Monthly Allowance]]-Dashboard_Query[[#This Row],[Current Usage]])
)</f>
        <v>579.68000000000006</v>
      </c>
      <c r="S50" s="9">
        <f>IF(OR(Dashboard_Query[[#This Row],[Monthly Allowance]]="",Dashboard_Query[[#This Row],[Current Usage]]=""),"",Dashboard_Query[[#This Row],[Current Usage]]/Dashboard_Query[[#This Row],[Monthly Allowance]])</f>
        <v>0.42031999999999997</v>
      </c>
      <c r="T50" s="9">
        <f>IF(Dashboard_Query[[#This Row],[% Used]]="","",1-Dashboard_Query[[#This Row],[% Used]])</f>
        <v>0.57967999999999997</v>
      </c>
      <c r="U50" s="4">
        <f>IF(OR(Dashboard_Query[[#This Row],[Monthly Allowance]]="",Dashboard_Query[[#This Row],[Current Usage]]=""),"",MAX(0,Dashboard_Query[[#This Row],[Current Usage]]-Dashboard_Query[[#This Row],[Monthly Allowance]]))</f>
        <v>0</v>
      </c>
      <c r="V50" s="4" t="str">
        <f>IF(Dashboard_Query[[#This Row],[Monthly Allowance]]="","",IF(Dashboard_Query[[#This Row],[Overage]]&gt;0,"OVER",IF(Dashboard_Query[[#This Row],[% Used]]&gt;=0.8,"WARNING","OK")))</f>
        <v>OK</v>
      </c>
      <c r="W50" s="1"/>
      <c r="X50" s="1"/>
    </row>
    <row r="51" spans="1:24">
      <c r="A51" s="4" t="s">
        <v>91</v>
      </c>
      <c r="B51" s="4">
        <v>816226</v>
      </c>
      <c r="C51" s="4" t="s">
        <v>469</v>
      </c>
      <c r="D51" s="4" t="s">
        <v>470</v>
      </c>
      <c r="E51" s="4" t="s">
        <v>471</v>
      </c>
      <c r="F51" s="4">
        <v>211122091</v>
      </c>
      <c r="G51" s="6">
        <v>46251</v>
      </c>
      <c r="H51" s="6">
        <v>46251</v>
      </c>
      <c r="I51" s="32">
        <v>46282</v>
      </c>
      <c r="J51" s="1">
        <v>24</v>
      </c>
      <c r="K51" s="4">
        <v>1000</v>
      </c>
      <c r="L51" s="4" t="s">
        <v>122</v>
      </c>
      <c r="M51" s="4" t="s">
        <v>123</v>
      </c>
      <c r="N51" s="6">
        <v>46251</v>
      </c>
      <c r="O51" s="1"/>
      <c r="P51" s="4">
        <v>410.98</v>
      </c>
      <c r="Q51" s="4">
        <v>410.95000000000005</v>
      </c>
      <c r="R51" s="4">
        <f>IF(
    OR(Dashboard_Query[[#This Row],[Monthly Allowance]]="",Dashboard_Query[[#This Row],[Current Usage]]=""),
    "",
    MAX(0,Dashboard_Query[[#This Row],[Monthly Allowance]]-Dashboard_Query[[#This Row],[Current Usage]])
)</f>
        <v>589.04999999999995</v>
      </c>
      <c r="S51" s="9">
        <f>IF(OR(Dashboard_Query[[#This Row],[Monthly Allowance]]="",Dashboard_Query[[#This Row],[Current Usage]]=""),"",Dashboard_Query[[#This Row],[Current Usage]]/Dashboard_Query[[#This Row],[Monthly Allowance]])</f>
        <v>0.41095000000000004</v>
      </c>
      <c r="T51" s="9">
        <f>IF(Dashboard_Query[[#This Row],[% Used]]="","",1-Dashboard_Query[[#This Row],[% Used]])</f>
        <v>0.58904999999999996</v>
      </c>
      <c r="U51" s="4">
        <f>IF(OR(Dashboard_Query[[#This Row],[Monthly Allowance]]="",Dashboard_Query[[#This Row],[Current Usage]]=""),"",MAX(0,Dashboard_Query[[#This Row],[Current Usage]]-Dashboard_Query[[#This Row],[Monthly Allowance]]))</f>
        <v>0</v>
      </c>
      <c r="V51" s="4" t="str">
        <f>IF(Dashboard_Query[[#This Row],[Monthly Allowance]]="","",IF(Dashboard_Query[[#This Row],[Overage]]&gt;0,"OVER",IF(Dashboard_Query[[#This Row],[% Used]]&gt;=0.8,"WARNING","OK")))</f>
        <v>OK</v>
      </c>
      <c r="W51" s="1"/>
      <c r="X51" s="1"/>
    </row>
    <row r="52" spans="1:24">
      <c r="A52" s="4" t="s">
        <v>232</v>
      </c>
      <c r="B52" s="4">
        <v>814640</v>
      </c>
      <c r="C52" s="4" t="s">
        <v>388</v>
      </c>
      <c r="D52" s="4" t="s">
        <v>306</v>
      </c>
      <c r="E52" s="4" t="s">
        <v>389</v>
      </c>
      <c r="F52" s="4">
        <v>211121969</v>
      </c>
      <c r="G52" s="6">
        <v>46246</v>
      </c>
      <c r="H52" s="6">
        <v>46246</v>
      </c>
      <c r="I52" s="32">
        <v>46277</v>
      </c>
      <c r="J52" s="1">
        <v>19</v>
      </c>
      <c r="K52" s="4">
        <v>1000</v>
      </c>
      <c r="L52" s="4" t="s">
        <v>122</v>
      </c>
      <c r="M52" s="4" t="s">
        <v>123</v>
      </c>
      <c r="N52" s="6">
        <v>46246</v>
      </c>
      <c r="O52" s="1"/>
      <c r="P52" s="4">
        <v>413.08</v>
      </c>
      <c r="Q52" s="4">
        <v>384.19</v>
      </c>
      <c r="R52" s="4">
        <f>IF(
    OR(Dashboard_Query[[#This Row],[Monthly Allowance]]="",Dashboard_Query[[#This Row],[Current Usage]]=""),
    "",
    MAX(0,Dashboard_Query[[#This Row],[Monthly Allowance]]-Dashboard_Query[[#This Row],[Current Usage]])
)</f>
        <v>615.80999999999995</v>
      </c>
      <c r="S52" s="9">
        <f>IF(OR(Dashboard_Query[[#This Row],[Monthly Allowance]]="",Dashboard_Query[[#This Row],[Current Usage]]=""),"",Dashboard_Query[[#This Row],[Current Usage]]/Dashboard_Query[[#This Row],[Monthly Allowance]])</f>
        <v>0.38418999999999998</v>
      </c>
      <c r="T52" s="9">
        <f>IF(Dashboard_Query[[#This Row],[% Used]]="","",1-Dashboard_Query[[#This Row],[% Used]])</f>
        <v>0.61580999999999997</v>
      </c>
      <c r="U52" s="4">
        <f>IF(OR(Dashboard_Query[[#This Row],[Monthly Allowance]]="",Dashboard_Query[[#This Row],[Current Usage]]=""),"",MAX(0,Dashboard_Query[[#This Row],[Current Usage]]-Dashboard_Query[[#This Row],[Monthly Allowance]]))</f>
        <v>0</v>
      </c>
      <c r="V52" s="4" t="str">
        <f>IF(Dashboard_Query[[#This Row],[Monthly Allowance]]="","",IF(Dashboard_Query[[#This Row],[Overage]]&gt;0,"OVER",IF(Dashboard_Query[[#This Row],[% Used]]&gt;=0.8,"WARNING","OK")))</f>
        <v>OK</v>
      </c>
      <c r="W52" s="1"/>
      <c r="X52" s="1"/>
    </row>
    <row r="53" spans="1:24" hidden="1">
      <c r="A53" s="4" t="s">
        <v>135</v>
      </c>
      <c r="B53" s="4">
        <v>814494</v>
      </c>
      <c r="C53" s="4"/>
      <c r="D53" s="4"/>
      <c r="E53" s="4"/>
      <c r="F53" s="4"/>
      <c r="G53" s="6"/>
      <c r="H53" s="6"/>
      <c r="I53" s="32"/>
      <c r="J53" s="1"/>
      <c r="K53" s="4">
        <v>1000</v>
      </c>
      <c r="L53" s="4" t="s">
        <v>122</v>
      </c>
      <c r="M53" s="4" t="s">
        <v>35</v>
      </c>
      <c r="N53" s="6"/>
      <c r="O53" s="1"/>
      <c r="P53" s="4">
        <v>342.3</v>
      </c>
      <c r="Q53" s="4">
        <v>374.65</v>
      </c>
      <c r="R53" s="4">
        <f>IF(
    OR(Dashboard_Query[[#This Row],[Monthly Allowance]]="",Dashboard_Query[[#This Row],[Current Usage]]=""),
    "",
    MAX(0,Dashboard_Query[[#This Row],[Monthly Allowance]]-Dashboard_Query[[#This Row],[Current Usage]])
)</f>
        <v>625.35</v>
      </c>
      <c r="S53" s="9">
        <f>IF(OR(Dashboard_Query[[#This Row],[Monthly Allowance]]="",Dashboard_Query[[#This Row],[Current Usage]]=""),"",Dashboard_Query[[#This Row],[Current Usage]]/Dashboard_Query[[#This Row],[Monthly Allowance]])</f>
        <v>0.37464999999999998</v>
      </c>
      <c r="T53" s="9">
        <f>IF(Dashboard_Query[[#This Row],[% Used]]="","",1-Dashboard_Query[[#This Row],[% Used]])</f>
        <v>0.62535000000000007</v>
      </c>
      <c r="U53" s="4">
        <f>IF(OR(Dashboard_Query[[#This Row],[Monthly Allowance]]="",Dashboard_Query[[#This Row],[Current Usage]]=""),"",MAX(0,Dashboard_Query[[#This Row],[Current Usage]]-Dashboard_Query[[#This Row],[Monthly Allowance]]))</f>
        <v>0</v>
      </c>
      <c r="V53" s="4" t="str">
        <f>IF(Dashboard_Query[[#This Row],[Monthly Allowance]]="","",IF(Dashboard_Query[[#This Row],[Overage]]&gt;0,"OVER",IF(Dashboard_Query[[#This Row],[% Used]]&gt;=0.8,"WARNING","OK")))</f>
        <v>OK</v>
      </c>
      <c r="W53" s="1"/>
      <c r="X53" s="1"/>
    </row>
    <row r="54" spans="1:24" hidden="1">
      <c r="A54" s="4" t="s">
        <v>129</v>
      </c>
      <c r="B54" s="4">
        <v>814495</v>
      </c>
      <c r="C54" s="4"/>
      <c r="D54" s="4"/>
      <c r="E54" s="4"/>
      <c r="F54" s="4"/>
      <c r="G54" s="6"/>
      <c r="H54" s="6"/>
      <c r="I54" s="32"/>
      <c r="J54" s="1"/>
      <c r="K54" s="4">
        <v>1000</v>
      </c>
      <c r="L54" s="4" t="s">
        <v>122</v>
      </c>
      <c r="M54" s="4" t="s">
        <v>35</v>
      </c>
      <c r="N54" s="6"/>
      <c r="O54" s="1"/>
      <c r="P54" s="4">
        <v>335.8</v>
      </c>
      <c r="Q54" s="4">
        <v>357.48</v>
      </c>
      <c r="R54" s="4">
        <f>IF(
    OR(Dashboard_Query[[#This Row],[Monthly Allowance]]="",Dashboard_Query[[#This Row],[Current Usage]]=""),
    "",
    MAX(0,Dashboard_Query[[#This Row],[Monthly Allowance]]-Dashboard_Query[[#This Row],[Current Usage]])
)</f>
        <v>642.52</v>
      </c>
      <c r="S54" s="9">
        <f>IF(OR(Dashboard_Query[[#This Row],[Monthly Allowance]]="",Dashboard_Query[[#This Row],[Current Usage]]=""),"",Dashboard_Query[[#This Row],[Current Usage]]/Dashboard_Query[[#This Row],[Monthly Allowance]])</f>
        <v>0.35748000000000002</v>
      </c>
      <c r="T54" s="9">
        <f>IF(Dashboard_Query[[#This Row],[% Used]]="","",1-Dashboard_Query[[#This Row],[% Used]])</f>
        <v>0.64251999999999998</v>
      </c>
      <c r="U54" s="4">
        <f>IF(OR(Dashboard_Query[[#This Row],[Monthly Allowance]]="",Dashboard_Query[[#This Row],[Current Usage]]=""),"",MAX(0,Dashboard_Query[[#This Row],[Current Usage]]-Dashboard_Query[[#This Row],[Monthly Allowance]]))</f>
        <v>0</v>
      </c>
      <c r="V54" s="4" t="str">
        <f>IF(Dashboard_Query[[#This Row],[Monthly Allowance]]="","",IF(Dashboard_Query[[#This Row],[Overage]]&gt;0,"OVER",IF(Dashboard_Query[[#This Row],[% Used]]&gt;=0.8,"WARNING","OK")))</f>
        <v>OK</v>
      </c>
      <c r="W54" s="1"/>
      <c r="X54" s="1"/>
    </row>
    <row r="55" spans="1:24">
      <c r="A55" s="4" t="s">
        <v>41</v>
      </c>
      <c r="B55" s="4">
        <v>816227</v>
      </c>
      <c r="C55" s="4" t="s">
        <v>469</v>
      </c>
      <c r="D55" s="4" t="s">
        <v>470</v>
      </c>
      <c r="E55" s="4" t="s">
        <v>471</v>
      </c>
      <c r="F55" s="4">
        <v>211122091</v>
      </c>
      <c r="G55" s="6">
        <v>46251</v>
      </c>
      <c r="H55" s="6">
        <v>46251</v>
      </c>
      <c r="I55" s="32">
        <v>46282</v>
      </c>
      <c r="J55" s="1">
        <v>24</v>
      </c>
      <c r="K55" s="4">
        <v>1000</v>
      </c>
      <c r="L55" s="4" t="s">
        <v>122</v>
      </c>
      <c r="M55" s="4" t="s">
        <v>123</v>
      </c>
      <c r="N55" s="6">
        <v>46251</v>
      </c>
      <c r="O55" s="1"/>
      <c r="P55" s="4">
        <v>340.78</v>
      </c>
      <c r="Q55" s="4">
        <v>340.71999999999997</v>
      </c>
      <c r="R55" s="4">
        <f>IF(
    OR(Dashboard_Query[[#This Row],[Monthly Allowance]]="",Dashboard_Query[[#This Row],[Current Usage]]=""),
    "",
    MAX(0,Dashboard_Query[[#This Row],[Monthly Allowance]]-Dashboard_Query[[#This Row],[Current Usage]])
)</f>
        <v>659.28</v>
      </c>
      <c r="S55" s="9">
        <f>IF(OR(Dashboard_Query[[#This Row],[Monthly Allowance]]="",Dashboard_Query[[#This Row],[Current Usage]]=""),"",Dashboard_Query[[#This Row],[Current Usage]]/Dashboard_Query[[#This Row],[Monthly Allowance]])</f>
        <v>0.34071999999999997</v>
      </c>
      <c r="T55" s="9">
        <f>IF(Dashboard_Query[[#This Row],[% Used]]="","",1-Dashboard_Query[[#This Row],[% Used]])</f>
        <v>0.65928000000000009</v>
      </c>
      <c r="U55" s="4">
        <f>IF(OR(Dashboard_Query[[#This Row],[Monthly Allowance]]="",Dashboard_Query[[#This Row],[Current Usage]]=""),"",MAX(0,Dashboard_Query[[#This Row],[Current Usage]]-Dashboard_Query[[#This Row],[Monthly Allowance]]))</f>
        <v>0</v>
      </c>
      <c r="V55" s="4" t="str">
        <f>IF(Dashboard_Query[[#This Row],[Monthly Allowance]]="","",IF(Dashboard_Query[[#This Row],[Overage]]&gt;0,"OVER",IF(Dashboard_Query[[#This Row],[% Used]]&gt;=0.8,"WARNING","OK")))</f>
        <v>OK</v>
      </c>
      <c r="W55" s="1"/>
      <c r="X55" s="1"/>
    </row>
    <row r="56" spans="1:24">
      <c r="A56" s="4" t="s">
        <v>99</v>
      </c>
      <c r="B56" s="4">
        <v>816070</v>
      </c>
      <c r="C56" s="4" t="s">
        <v>392</v>
      </c>
      <c r="D56" s="4" t="s">
        <v>393</v>
      </c>
      <c r="E56" s="4" t="s">
        <v>394</v>
      </c>
      <c r="F56" s="4">
        <v>211122081</v>
      </c>
      <c r="G56" s="6">
        <v>46248</v>
      </c>
      <c r="H56" s="6">
        <v>46248</v>
      </c>
      <c r="I56" s="32">
        <v>46279</v>
      </c>
      <c r="J56" s="1">
        <v>21</v>
      </c>
      <c r="K56" s="4">
        <v>500</v>
      </c>
      <c r="L56" s="4" t="s">
        <v>122</v>
      </c>
      <c r="M56" s="4" t="s">
        <v>123</v>
      </c>
      <c r="N56" s="6">
        <v>46248</v>
      </c>
      <c r="O56" s="1"/>
      <c r="P56" s="4">
        <v>162.81</v>
      </c>
      <c r="Q56" s="4">
        <v>162.81</v>
      </c>
      <c r="R56" s="4">
        <f>IF(
    OR(Dashboard_Query[[#This Row],[Monthly Allowance]]="",Dashboard_Query[[#This Row],[Current Usage]]=""),
    "",
    MAX(0,Dashboard_Query[[#This Row],[Monthly Allowance]]-Dashboard_Query[[#This Row],[Current Usage]])
)</f>
        <v>337.19</v>
      </c>
      <c r="S56" s="9">
        <f>IF(OR(Dashboard_Query[[#This Row],[Monthly Allowance]]="",Dashboard_Query[[#This Row],[Current Usage]]=""),"",Dashboard_Query[[#This Row],[Current Usage]]/Dashboard_Query[[#This Row],[Monthly Allowance]])</f>
        <v>0.32562000000000002</v>
      </c>
      <c r="T56" s="9">
        <f>IF(Dashboard_Query[[#This Row],[% Used]]="","",1-Dashboard_Query[[#This Row],[% Used]])</f>
        <v>0.67437999999999998</v>
      </c>
      <c r="U56" s="4">
        <f>IF(OR(Dashboard_Query[[#This Row],[Monthly Allowance]]="",Dashboard_Query[[#This Row],[Current Usage]]=""),"",MAX(0,Dashboard_Query[[#This Row],[Current Usage]]-Dashboard_Query[[#This Row],[Monthly Allowance]]))</f>
        <v>0</v>
      </c>
      <c r="V56" s="4" t="str">
        <f>IF(Dashboard_Query[[#This Row],[Monthly Allowance]]="","",IF(Dashboard_Query[[#This Row],[Overage]]&gt;0,"OVER",IF(Dashboard_Query[[#This Row],[% Used]]&gt;=0.8,"WARNING","OK")))</f>
        <v>OK</v>
      </c>
      <c r="W56" s="1"/>
      <c r="X56" s="1"/>
    </row>
    <row r="57" spans="1:24">
      <c r="A57" s="4" t="s">
        <v>259</v>
      </c>
      <c r="B57" s="4">
        <v>809604</v>
      </c>
      <c r="C57" s="4" t="s">
        <v>382</v>
      </c>
      <c r="D57" s="4" t="s">
        <v>386</v>
      </c>
      <c r="E57" s="4" t="s">
        <v>387</v>
      </c>
      <c r="F57" s="4">
        <v>211121878</v>
      </c>
      <c r="G57" s="6">
        <v>46244</v>
      </c>
      <c r="H57" s="6">
        <v>46244</v>
      </c>
      <c r="I57" s="32">
        <v>46275</v>
      </c>
      <c r="J57" s="1">
        <v>17</v>
      </c>
      <c r="K57" s="4">
        <v>1000</v>
      </c>
      <c r="L57" s="4" t="s">
        <v>122</v>
      </c>
      <c r="M57" s="4" t="s">
        <v>123</v>
      </c>
      <c r="N57" s="6">
        <v>46244</v>
      </c>
      <c r="O57" s="1"/>
      <c r="P57" s="4">
        <v>324.62</v>
      </c>
      <c r="Q57" s="4">
        <v>312.87</v>
      </c>
      <c r="R57" s="4">
        <f>IF(
    OR(Dashboard_Query[[#This Row],[Monthly Allowance]]="",Dashboard_Query[[#This Row],[Current Usage]]=""),
    "",
    MAX(0,Dashboard_Query[[#This Row],[Monthly Allowance]]-Dashboard_Query[[#This Row],[Current Usage]])
)</f>
        <v>687.13</v>
      </c>
      <c r="S57" s="9">
        <f>IF(OR(Dashboard_Query[[#This Row],[Monthly Allowance]]="",Dashboard_Query[[#This Row],[Current Usage]]=""),"",Dashboard_Query[[#This Row],[Current Usage]]/Dashboard_Query[[#This Row],[Monthly Allowance]])</f>
        <v>0.31286999999999998</v>
      </c>
      <c r="T57" s="9">
        <f>IF(Dashboard_Query[[#This Row],[% Used]]="","",1-Dashboard_Query[[#This Row],[% Used]])</f>
        <v>0.68713000000000002</v>
      </c>
      <c r="U57" s="4">
        <f>IF(OR(Dashboard_Query[[#This Row],[Monthly Allowance]]="",Dashboard_Query[[#This Row],[Current Usage]]=""),"",MAX(0,Dashboard_Query[[#This Row],[Current Usage]]-Dashboard_Query[[#This Row],[Monthly Allowance]]))</f>
        <v>0</v>
      </c>
      <c r="V57" s="4" t="str">
        <f>IF(Dashboard_Query[[#This Row],[Monthly Allowance]]="","",IF(Dashboard_Query[[#This Row],[Overage]]&gt;0,"OVER",IF(Dashboard_Query[[#This Row],[% Used]]&gt;=0.8,"WARNING","OK")))</f>
        <v>OK</v>
      </c>
      <c r="W57" s="1"/>
      <c r="X57" s="1"/>
    </row>
    <row r="58" spans="1:24" hidden="1">
      <c r="A58" s="4" t="s">
        <v>177</v>
      </c>
      <c r="B58" s="4">
        <v>812928</v>
      </c>
      <c r="C58" s="4"/>
      <c r="D58" s="4"/>
      <c r="E58" s="4"/>
      <c r="F58" s="4"/>
      <c r="G58" s="6"/>
      <c r="H58" s="6"/>
      <c r="I58" s="32"/>
      <c r="J58" s="1"/>
      <c r="K58" s="4">
        <v>1000</v>
      </c>
      <c r="L58" s="4" t="s">
        <v>122</v>
      </c>
      <c r="M58" s="4" t="s">
        <v>35</v>
      </c>
      <c r="N58" s="6"/>
      <c r="O58" s="1"/>
      <c r="P58" s="4">
        <v>307.20999999999998</v>
      </c>
      <c r="Q58" s="4">
        <v>307.20999999999998</v>
      </c>
      <c r="R58" s="4">
        <f>IF(
    OR(Dashboard_Query[[#This Row],[Monthly Allowance]]="",Dashboard_Query[[#This Row],[Current Usage]]=""),
    "",
    MAX(0,Dashboard_Query[[#This Row],[Monthly Allowance]]-Dashboard_Query[[#This Row],[Current Usage]])
)</f>
        <v>692.79</v>
      </c>
      <c r="S58" s="9">
        <f>IF(OR(Dashboard_Query[[#This Row],[Monthly Allowance]]="",Dashboard_Query[[#This Row],[Current Usage]]=""),"",Dashboard_Query[[#This Row],[Current Usage]]/Dashboard_Query[[#This Row],[Monthly Allowance]])</f>
        <v>0.30720999999999998</v>
      </c>
      <c r="T58" s="9">
        <f>IF(Dashboard_Query[[#This Row],[% Used]]="","",1-Dashboard_Query[[#This Row],[% Used]])</f>
        <v>0.69279000000000002</v>
      </c>
      <c r="U58" s="4">
        <f>IF(OR(Dashboard_Query[[#This Row],[Monthly Allowance]]="",Dashboard_Query[[#This Row],[Current Usage]]=""),"",MAX(0,Dashboard_Query[[#This Row],[Current Usage]]-Dashboard_Query[[#This Row],[Monthly Allowance]]))</f>
        <v>0</v>
      </c>
      <c r="V58" s="4" t="str">
        <f>IF(Dashboard_Query[[#This Row],[Monthly Allowance]]="","",IF(Dashboard_Query[[#This Row],[Overage]]&gt;0,"OVER",IF(Dashboard_Query[[#This Row],[% Used]]&gt;=0.8,"WARNING","OK")))</f>
        <v>OK</v>
      </c>
      <c r="W58" s="1"/>
      <c r="X58" s="1"/>
    </row>
    <row r="59" spans="1:24">
      <c r="A59" s="4" t="s">
        <v>301</v>
      </c>
      <c r="B59" s="4">
        <v>810650</v>
      </c>
      <c r="C59" s="4" t="s">
        <v>388</v>
      </c>
      <c r="D59" s="4" t="s">
        <v>306</v>
      </c>
      <c r="E59" s="4" t="s">
        <v>389</v>
      </c>
      <c r="F59" s="4">
        <v>211121969</v>
      </c>
      <c r="G59" s="6">
        <v>46246</v>
      </c>
      <c r="H59" s="6">
        <v>46246</v>
      </c>
      <c r="I59" s="32">
        <v>46277</v>
      </c>
      <c r="J59" s="1">
        <v>19</v>
      </c>
      <c r="K59" s="4">
        <v>500</v>
      </c>
      <c r="L59" s="4" t="s">
        <v>122</v>
      </c>
      <c r="M59" s="4" t="s">
        <v>123</v>
      </c>
      <c r="N59" s="6">
        <v>46246</v>
      </c>
      <c r="O59" s="1"/>
      <c r="P59" s="4">
        <v>126.59</v>
      </c>
      <c r="Q59" s="4">
        <v>126.59</v>
      </c>
      <c r="R59" s="4">
        <f>IF(
    OR(Dashboard_Query[[#This Row],[Monthly Allowance]]="",Dashboard_Query[[#This Row],[Current Usage]]=""),
    "",
    MAX(0,Dashboard_Query[[#This Row],[Monthly Allowance]]-Dashboard_Query[[#This Row],[Current Usage]])
)</f>
        <v>373.40999999999997</v>
      </c>
      <c r="S59" s="9">
        <f>IF(OR(Dashboard_Query[[#This Row],[Monthly Allowance]]="",Dashboard_Query[[#This Row],[Current Usage]]=""),"",Dashboard_Query[[#This Row],[Current Usage]]/Dashboard_Query[[#This Row],[Monthly Allowance]])</f>
        <v>0.25318000000000002</v>
      </c>
      <c r="T59" s="9">
        <f>IF(Dashboard_Query[[#This Row],[% Used]]="","",1-Dashboard_Query[[#This Row],[% Used]])</f>
        <v>0.74682000000000004</v>
      </c>
      <c r="U59" s="4">
        <f>IF(OR(Dashboard_Query[[#This Row],[Monthly Allowance]]="",Dashboard_Query[[#This Row],[Current Usage]]=""),"",MAX(0,Dashboard_Query[[#This Row],[Current Usage]]-Dashboard_Query[[#This Row],[Monthly Allowance]]))</f>
        <v>0</v>
      </c>
      <c r="V59" s="4" t="str">
        <f>IF(Dashboard_Query[[#This Row],[Monthly Allowance]]="","",IF(Dashboard_Query[[#This Row],[Overage]]&gt;0,"OVER",IF(Dashboard_Query[[#This Row],[% Used]]&gt;=0.8,"WARNING","OK")))</f>
        <v>OK</v>
      </c>
      <c r="W59" s="1"/>
      <c r="X59" s="1"/>
    </row>
    <row r="60" spans="1:24" ht="15" hidden="1" customHeight="1">
      <c r="A60" s="4" t="s">
        <v>161</v>
      </c>
      <c r="B60" s="4">
        <v>814456</v>
      </c>
      <c r="C60" s="4"/>
      <c r="D60" s="4"/>
      <c r="E60" s="4"/>
      <c r="F60" s="4"/>
      <c r="G60" s="6"/>
      <c r="H60" s="6"/>
      <c r="I60" s="32"/>
      <c r="J60" s="1"/>
      <c r="K60" s="4">
        <v>500</v>
      </c>
      <c r="L60" s="4" t="s">
        <v>122</v>
      </c>
      <c r="M60" s="4" t="s">
        <v>35</v>
      </c>
      <c r="N60" s="6"/>
      <c r="O60" s="1"/>
      <c r="P60" s="4">
        <v>108.22</v>
      </c>
      <c r="Q60" s="4">
        <v>109.59</v>
      </c>
      <c r="R60" s="4">
        <f>IF(
    OR(Dashboard_Query[[#This Row],[Monthly Allowance]]="",Dashboard_Query[[#This Row],[Current Usage]]=""),
    "",
    MAX(0,Dashboard_Query[[#This Row],[Monthly Allowance]]-Dashboard_Query[[#This Row],[Current Usage]])
)</f>
        <v>390.40999999999997</v>
      </c>
      <c r="S60" s="9">
        <f>IF(OR(Dashboard_Query[[#This Row],[Monthly Allowance]]="",Dashboard_Query[[#This Row],[Current Usage]]=""),"",Dashboard_Query[[#This Row],[Current Usage]]/Dashboard_Query[[#This Row],[Monthly Allowance]])</f>
        <v>0.21918000000000001</v>
      </c>
      <c r="T60" s="9">
        <f>IF(Dashboard_Query[[#This Row],[% Used]]="","",1-Dashboard_Query[[#This Row],[% Used]])</f>
        <v>0.78081999999999996</v>
      </c>
      <c r="U60" s="4">
        <f>IF(OR(Dashboard_Query[[#This Row],[Monthly Allowance]]="",Dashboard_Query[[#This Row],[Current Usage]]=""),"",MAX(0,Dashboard_Query[[#This Row],[Current Usage]]-Dashboard_Query[[#This Row],[Monthly Allowance]]))</f>
        <v>0</v>
      </c>
      <c r="V60" s="4" t="str">
        <f>IF(Dashboard_Query[[#This Row],[Monthly Allowance]]="","",IF(Dashboard_Query[[#This Row],[Overage]]&gt;0,"OVER",IF(Dashboard_Query[[#This Row],[% Used]]&gt;=0.8,"WARNING","OK")))</f>
        <v>OK</v>
      </c>
      <c r="W60" s="1"/>
      <c r="X60" s="1"/>
    </row>
    <row r="61" spans="1:24">
      <c r="A61" s="4" t="s">
        <v>317</v>
      </c>
      <c r="B61" s="4">
        <v>812815</v>
      </c>
      <c r="C61" s="4" t="s">
        <v>383</v>
      </c>
      <c r="D61" s="4" t="s">
        <v>180</v>
      </c>
      <c r="E61" s="4" t="s">
        <v>384</v>
      </c>
      <c r="F61" s="4">
        <v>211121827</v>
      </c>
      <c r="G61" s="6">
        <v>46241</v>
      </c>
      <c r="H61" s="6">
        <v>46241</v>
      </c>
      <c r="I61" s="32">
        <v>46272</v>
      </c>
      <c r="J61" s="1">
        <v>14</v>
      </c>
      <c r="K61" s="4">
        <v>500</v>
      </c>
      <c r="L61" s="4" t="s">
        <v>122</v>
      </c>
      <c r="M61" s="4" t="s">
        <v>123</v>
      </c>
      <c r="N61" s="6">
        <v>46241</v>
      </c>
      <c r="O61" s="1"/>
      <c r="P61" s="4">
        <v>107.44</v>
      </c>
      <c r="Q61" s="4">
        <v>107.42999999999999</v>
      </c>
      <c r="R61" s="4">
        <f>IF(
    OR(Dashboard_Query[[#This Row],[Monthly Allowance]]="",Dashboard_Query[[#This Row],[Current Usage]]=""),
    "",
    MAX(0,Dashboard_Query[[#This Row],[Monthly Allowance]]-Dashboard_Query[[#This Row],[Current Usage]])
)</f>
        <v>392.57</v>
      </c>
      <c r="S61" s="9">
        <f>IF(OR(Dashboard_Query[[#This Row],[Monthly Allowance]]="",Dashboard_Query[[#This Row],[Current Usage]]=""),"",Dashboard_Query[[#This Row],[Current Usage]]/Dashboard_Query[[#This Row],[Monthly Allowance]])</f>
        <v>0.21486</v>
      </c>
      <c r="T61" s="9">
        <f>IF(Dashboard_Query[[#This Row],[% Used]]="","",1-Dashboard_Query[[#This Row],[% Used]])</f>
        <v>0.78513999999999995</v>
      </c>
      <c r="U61" s="4">
        <f>IF(OR(Dashboard_Query[[#This Row],[Monthly Allowance]]="",Dashboard_Query[[#This Row],[Current Usage]]=""),"",MAX(0,Dashboard_Query[[#This Row],[Current Usage]]-Dashboard_Query[[#This Row],[Monthly Allowance]]))</f>
        <v>0</v>
      </c>
      <c r="V61" s="4" t="str">
        <f>IF(Dashboard_Query[[#This Row],[Monthly Allowance]]="","",IF(Dashboard_Query[[#This Row],[Overage]]&gt;0,"OVER",IF(Dashboard_Query[[#This Row],[% Used]]&gt;=0.8,"WARNING","OK")))</f>
        <v>OK</v>
      </c>
      <c r="W61" s="1"/>
      <c r="X61" s="1"/>
    </row>
    <row r="62" spans="1:24">
      <c r="A62" s="4" t="s">
        <v>374</v>
      </c>
      <c r="B62" s="4">
        <v>814451</v>
      </c>
      <c r="C62" s="4" t="s">
        <v>186</v>
      </c>
      <c r="D62" s="4" t="s">
        <v>187</v>
      </c>
      <c r="E62" s="4" t="s">
        <v>188</v>
      </c>
      <c r="F62" s="4">
        <v>211121633</v>
      </c>
      <c r="G62" s="6">
        <v>46237</v>
      </c>
      <c r="H62" s="6">
        <v>46237</v>
      </c>
      <c r="I62" s="32">
        <v>46268</v>
      </c>
      <c r="J62" s="1">
        <v>10</v>
      </c>
      <c r="K62" s="4">
        <v>500</v>
      </c>
      <c r="L62" s="4" t="s">
        <v>122</v>
      </c>
      <c r="M62" s="4" t="s">
        <v>123</v>
      </c>
      <c r="N62" s="6">
        <v>46237</v>
      </c>
      <c r="O62" s="1"/>
      <c r="P62" s="4">
        <v>85.1</v>
      </c>
      <c r="Q62" s="4">
        <v>85.1</v>
      </c>
      <c r="R62" s="4">
        <f>IF(
    OR(Dashboard_Query[[#This Row],[Monthly Allowance]]="",Dashboard_Query[[#This Row],[Current Usage]]=""),
    "",
    MAX(0,Dashboard_Query[[#This Row],[Monthly Allowance]]-Dashboard_Query[[#This Row],[Current Usage]])
)</f>
        <v>414.9</v>
      </c>
      <c r="S62" s="9">
        <f>IF(OR(Dashboard_Query[[#This Row],[Monthly Allowance]]="",Dashboard_Query[[#This Row],[Current Usage]]=""),"",Dashboard_Query[[#This Row],[Current Usage]]/Dashboard_Query[[#This Row],[Monthly Allowance]])</f>
        <v>0.17019999999999999</v>
      </c>
      <c r="T62" s="9">
        <f>IF(Dashboard_Query[[#This Row],[% Used]]="","",1-Dashboard_Query[[#This Row],[% Used]])</f>
        <v>0.82979999999999998</v>
      </c>
      <c r="U62" s="4">
        <f>IF(OR(Dashboard_Query[[#This Row],[Monthly Allowance]]="",Dashboard_Query[[#This Row],[Current Usage]]=""),"",MAX(0,Dashboard_Query[[#This Row],[Current Usage]]-Dashboard_Query[[#This Row],[Monthly Allowance]]))</f>
        <v>0</v>
      </c>
      <c r="V62" s="4" t="str">
        <f>IF(Dashboard_Query[[#This Row],[Monthly Allowance]]="","",IF(Dashboard_Query[[#This Row],[Overage]]&gt;0,"OVER",IF(Dashboard_Query[[#This Row],[% Used]]&gt;=0.8,"WARNING","OK")))</f>
        <v>OK</v>
      </c>
      <c r="W62" s="1"/>
      <c r="X62" s="1"/>
    </row>
    <row r="63" spans="1:24">
      <c r="A63" s="4" t="s">
        <v>172</v>
      </c>
      <c r="B63" s="4">
        <v>812823</v>
      </c>
      <c r="C63" s="4" t="s">
        <v>173</v>
      </c>
      <c r="D63" s="4" t="s">
        <v>174</v>
      </c>
      <c r="E63" s="4" t="s">
        <v>175</v>
      </c>
      <c r="F63" s="4">
        <v>211120714</v>
      </c>
      <c r="G63" s="6">
        <v>46204</v>
      </c>
      <c r="H63" s="6">
        <v>46235</v>
      </c>
      <c r="I63" s="32">
        <v>46266</v>
      </c>
      <c r="J63" s="1">
        <v>8</v>
      </c>
      <c r="K63" s="4">
        <v>500</v>
      </c>
      <c r="L63" s="4" t="s">
        <v>122</v>
      </c>
      <c r="M63" s="4" t="s">
        <v>123</v>
      </c>
      <c r="N63" s="6">
        <v>46235</v>
      </c>
      <c r="O63" s="1"/>
      <c r="P63" s="4">
        <v>82.99</v>
      </c>
      <c r="Q63" s="4">
        <v>82.27</v>
      </c>
      <c r="R63" s="4">
        <f>IF(
    OR(Dashboard_Query[[#This Row],[Monthly Allowance]]="",Dashboard_Query[[#This Row],[Current Usage]]=""),
    "",
    MAX(0,Dashboard_Query[[#This Row],[Monthly Allowance]]-Dashboard_Query[[#This Row],[Current Usage]])
)</f>
        <v>417.73</v>
      </c>
      <c r="S63" s="9">
        <f>IF(OR(Dashboard_Query[[#This Row],[Monthly Allowance]]="",Dashboard_Query[[#This Row],[Current Usage]]=""),"",Dashboard_Query[[#This Row],[Current Usage]]/Dashboard_Query[[#This Row],[Monthly Allowance]])</f>
        <v>0.16453999999999999</v>
      </c>
      <c r="T63" s="9">
        <f>IF(Dashboard_Query[[#This Row],[% Used]]="","",1-Dashboard_Query[[#This Row],[% Used]])</f>
        <v>0.83545999999999998</v>
      </c>
      <c r="U63" s="4">
        <f>IF(OR(Dashboard_Query[[#This Row],[Monthly Allowance]]="",Dashboard_Query[[#This Row],[Current Usage]]=""),"",MAX(0,Dashboard_Query[[#This Row],[Current Usage]]-Dashboard_Query[[#This Row],[Monthly Allowance]]))</f>
        <v>0</v>
      </c>
      <c r="V63" s="4" t="str">
        <f>IF(Dashboard_Query[[#This Row],[Monthly Allowance]]="","",IF(Dashboard_Query[[#This Row],[Overage]]&gt;0,"OVER",IF(Dashboard_Query[[#This Row],[% Used]]&gt;=0.8,"WARNING","OK")))</f>
        <v>OK</v>
      </c>
      <c r="W63" s="1"/>
      <c r="X63" s="1"/>
    </row>
    <row r="64" spans="1:24">
      <c r="A64" s="4" t="s">
        <v>210</v>
      </c>
      <c r="B64" s="4">
        <v>810104</v>
      </c>
      <c r="C64" s="4" t="s">
        <v>472</v>
      </c>
      <c r="D64" s="4" t="s">
        <v>393</v>
      </c>
      <c r="E64" s="4" t="s">
        <v>128</v>
      </c>
      <c r="F64" s="4">
        <v>211122084</v>
      </c>
      <c r="G64" s="6">
        <v>46248</v>
      </c>
      <c r="H64" s="6">
        <v>46248</v>
      </c>
      <c r="I64" s="32">
        <v>46279</v>
      </c>
      <c r="J64" s="1">
        <v>21</v>
      </c>
      <c r="K64" s="4">
        <v>500</v>
      </c>
      <c r="L64" s="4" t="s">
        <v>122</v>
      </c>
      <c r="M64" s="4" t="s">
        <v>123</v>
      </c>
      <c r="N64" s="6">
        <v>46248</v>
      </c>
      <c r="O64" s="1"/>
      <c r="P64" s="4">
        <v>81.150000000000006</v>
      </c>
      <c r="Q64" s="4">
        <v>81.150000000000006</v>
      </c>
      <c r="R64" s="4">
        <f>IF(
    OR(Dashboard_Query[[#This Row],[Monthly Allowance]]="",Dashboard_Query[[#This Row],[Current Usage]]=""),
    "",
    MAX(0,Dashboard_Query[[#This Row],[Monthly Allowance]]-Dashboard_Query[[#This Row],[Current Usage]])
)</f>
        <v>418.85</v>
      </c>
      <c r="S64" s="9">
        <f>IF(OR(Dashboard_Query[[#This Row],[Monthly Allowance]]="",Dashboard_Query[[#This Row],[Current Usage]]=""),"",Dashboard_Query[[#This Row],[Current Usage]]/Dashboard_Query[[#This Row],[Monthly Allowance]])</f>
        <v>0.1623</v>
      </c>
      <c r="T64" s="9">
        <f>IF(Dashboard_Query[[#This Row],[% Used]]="","",1-Dashboard_Query[[#This Row],[% Used]])</f>
        <v>0.8377</v>
      </c>
      <c r="U64" s="4">
        <f>IF(OR(Dashboard_Query[[#This Row],[Monthly Allowance]]="",Dashboard_Query[[#This Row],[Current Usage]]=""),"",MAX(0,Dashboard_Query[[#This Row],[Current Usage]]-Dashboard_Query[[#This Row],[Monthly Allowance]]))</f>
        <v>0</v>
      </c>
      <c r="V64" s="4" t="str">
        <f>IF(Dashboard_Query[[#This Row],[Monthly Allowance]]="","",IF(Dashboard_Query[[#This Row],[Overage]]&gt;0,"OVER",IF(Dashboard_Query[[#This Row],[% Used]]&gt;=0.8,"WARNING","OK")))</f>
        <v>OK</v>
      </c>
      <c r="W64" s="1"/>
      <c r="X64" s="1"/>
    </row>
    <row r="65" spans="1:24" hidden="1">
      <c r="A65" s="4" t="s">
        <v>313</v>
      </c>
      <c r="B65" s="4">
        <v>812922</v>
      </c>
      <c r="C65" s="4"/>
      <c r="D65" s="4"/>
      <c r="E65" s="4"/>
      <c r="F65" s="4"/>
      <c r="G65" s="6"/>
      <c r="H65" s="6"/>
      <c r="I65" s="32"/>
      <c r="J65" s="1"/>
      <c r="K65" s="4">
        <v>1000</v>
      </c>
      <c r="L65" s="4" t="s">
        <v>122</v>
      </c>
      <c r="M65" s="4" t="s">
        <v>35</v>
      </c>
      <c r="N65" s="6"/>
      <c r="O65" s="1"/>
      <c r="P65" s="4">
        <v>0.05</v>
      </c>
      <c r="Q65" s="4">
        <v>154.01</v>
      </c>
      <c r="R65" s="4">
        <f>IF(
    OR(Dashboard_Query[[#This Row],[Monthly Allowance]]="",Dashboard_Query[[#This Row],[Current Usage]]=""),
    "",
    MAX(0,Dashboard_Query[[#This Row],[Monthly Allowance]]-Dashboard_Query[[#This Row],[Current Usage]])
)</f>
        <v>845.99</v>
      </c>
      <c r="S65" s="9">
        <f>IF(OR(Dashboard_Query[[#This Row],[Monthly Allowance]]="",Dashboard_Query[[#This Row],[Current Usage]]=""),"",Dashboard_Query[[#This Row],[Current Usage]]/Dashboard_Query[[#This Row],[Monthly Allowance]])</f>
        <v>0.15400999999999998</v>
      </c>
      <c r="T65" s="9">
        <f>IF(Dashboard_Query[[#This Row],[% Used]]="","",1-Dashboard_Query[[#This Row],[% Used]])</f>
        <v>0.84599000000000002</v>
      </c>
      <c r="U65" s="4">
        <f>IF(OR(Dashboard_Query[[#This Row],[Monthly Allowance]]="",Dashboard_Query[[#This Row],[Current Usage]]=""),"",MAX(0,Dashboard_Query[[#This Row],[Current Usage]]-Dashboard_Query[[#This Row],[Monthly Allowance]]))</f>
        <v>0</v>
      </c>
      <c r="V65" s="4" t="str">
        <f>IF(Dashboard_Query[[#This Row],[Monthly Allowance]]="","",IF(Dashboard_Query[[#This Row],[Overage]]&gt;0,"OVER",IF(Dashboard_Query[[#This Row],[% Used]]&gt;=0.8,"WARNING","OK")))</f>
        <v>OK</v>
      </c>
      <c r="W65" s="1"/>
      <c r="X65" s="1"/>
    </row>
    <row r="66" spans="1:24" hidden="1">
      <c r="A66" s="4" t="s">
        <v>255</v>
      </c>
      <c r="B66" s="4">
        <v>814642</v>
      </c>
      <c r="C66" s="4"/>
      <c r="D66" s="4"/>
      <c r="E66" s="4"/>
      <c r="F66" s="4"/>
      <c r="G66" s="6"/>
      <c r="H66" s="6"/>
      <c r="I66" s="32"/>
      <c r="J66" s="1"/>
      <c r="K66" s="4">
        <v>1000</v>
      </c>
      <c r="L66" s="4" t="s">
        <v>122</v>
      </c>
      <c r="M66" s="4" t="s">
        <v>35</v>
      </c>
      <c r="N66" s="6"/>
      <c r="O66" s="1"/>
      <c r="P66" s="4">
        <v>72.83</v>
      </c>
      <c r="Q66" s="4">
        <v>153.47000000000003</v>
      </c>
      <c r="R66" s="4">
        <f>IF(
    OR(Dashboard_Query[[#This Row],[Monthly Allowance]]="",Dashboard_Query[[#This Row],[Current Usage]]=""),
    "",
    MAX(0,Dashboard_Query[[#This Row],[Monthly Allowance]]-Dashboard_Query[[#This Row],[Current Usage]])
)</f>
        <v>846.53</v>
      </c>
      <c r="S66" s="9">
        <f>IF(OR(Dashboard_Query[[#This Row],[Monthly Allowance]]="",Dashboard_Query[[#This Row],[Current Usage]]=""),"",Dashboard_Query[[#This Row],[Current Usage]]/Dashboard_Query[[#This Row],[Monthly Allowance]])</f>
        <v>0.15347000000000002</v>
      </c>
      <c r="T66" s="9">
        <f>IF(Dashboard_Query[[#This Row],[% Used]]="","",1-Dashboard_Query[[#This Row],[% Used]])</f>
        <v>0.84653</v>
      </c>
      <c r="U66" s="4">
        <f>IF(OR(Dashboard_Query[[#This Row],[Monthly Allowance]]="",Dashboard_Query[[#This Row],[Current Usage]]=""),"",MAX(0,Dashboard_Query[[#This Row],[Current Usage]]-Dashboard_Query[[#This Row],[Monthly Allowance]]))</f>
        <v>0</v>
      </c>
      <c r="V66" s="4" t="str">
        <f>IF(Dashboard_Query[[#This Row],[Monthly Allowance]]="","",IF(Dashboard_Query[[#This Row],[Overage]]&gt;0,"OVER",IF(Dashboard_Query[[#This Row],[% Used]]&gt;=0.8,"WARNING","OK")))</f>
        <v>OK</v>
      </c>
      <c r="W66" s="1"/>
      <c r="X66" s="1"/>
    </row>
    <row r="67" spans="1:24">
      <c r="A67" s="4" t="s">
        <v>235</v>
      </c>
      <c r="B67" s="4">
        <v>812811</v>
      </c>
      <c r="C67" s="4" t="s">
        <v>152</v>
      </c>
      <c r="D67" s="4" t="s">
        <v>153</v>
      </c>
      <c r="E67" s="4" t="s">
        <v>154</v>
      </c>
      <c r="F67" s="4">
        <v>211120865</v>
      </c>
      <c r="G67" s="6">
        <v>46211</v>
      </c>
      <c r="H67" s="6">
        <v>46242</v>
      </c>
      <c r="I67" s="32">
        <v>46273</v>
      </c>
      <c r="J67" s="1">
        <v>15</v>
      </c>
      <c r="K67" s="4">
        <v>500</v>
      </c>
      <c r="L67" s="4" t="s">
        <v>122</v>
      </c>
      <c r="M67" s="4" t="s">
        <v>123</v>
      </c>
      <c r="N67" s="6">
        <v>46242</v>
      </c>
      <c r="O67" s="1"/>
      <c r="P67" s="4">
        <v>92.69</v>
      </c>
      <c r="Q67" s="4">
        <v>74.72999999999999</v>
      </c>
      <c r="R67" s="4">
        <f>IF(
    OR(Dashboard_Query[[#This Row],[Monthly Allowance]]="",Dashboard_Query[[#This Row],[Current Usage]]=""),
    "",
    MAX(0,Dashboard_Query[[#This Row],[Monthly Allowance]]-Dashboard_Query[[#This Row],[Current Usage]])
)</f>
        <v>425.27</v>
      </c>
      <c r="S67" s="9">
        <f>IF(OR(Dashboard_Query[[#This Row],[Monthly Allowance]]="",Dashboard_Query[[#This Row],[Current Usage]]=""),"",Dashboard_Query[[#This Row],[Current Usage]]/Dashboard_Query[[#This Row],[Monthly Allowance]])</f>
        <v>0.14945999999999998</v>
      </c>
      <c r="T67" s="9">
        <f>IF(Dashboard_Query[[#This Row],[% Used]]="","",1-Dashboard_Query[[#This Row],[% Used]])</f>
        <v>0.85054000000000007</v>
      </c>
      <c r="U67" s="4">
        <f>IF(OR(Dashboard_Query[[#This Row],[Monthly Allowance]]="",Dashboard_Query[[#This Row],[Current Usage]]=""),"",MAX(0,Dashboard_Query[[#This Row],[Current Usage]]-Dashboard_Query[[#This Row],[Monthly Allowance]]))</f>
        <v>0</v>
      </c>
      <c r="V67" s="4" t="str">
        <f>IF(Dashboard_Query[[#This Row],[Monthly Allowance]]="","",IF(Dashboard_Query[[#This Row],[Overage]]&gt;0,"OVER",IF(Dashboard_Query[[#This Row],[% Used]]&gt;=0.8,"WARNING","OK")))</f>
        <v>OK</v>
      </c>
      <c r="W67" s="1"/>
      <c r="X67" s="1"/>
    </row>
    <row r="68" spans="1:24" hidden="1">
      <c r="A68" s="4" t="s">
        <v>379</v>
      </c>
      <c r="B68" s="4">
        <v>812812</v>
      </c>
      <c r="C68" s="4"/>
      <c r="D68" s="4"/>
      <c r="E68" s="4"/>
      <c r="F68" s="4"/>
      <c r="G68" s="6"/>
      <c r="H68" s="6"/>
      <c r="I68" s="32"/>
      <c r="J68" s="1"/>
      <c r="K68" s="4">
        <v>500</v>
      </c>
      <c r="L68" s="4" t="s">
        <v>122</v>
      </c>
      <c r="M68" s="4" t="s">
        <v>35</v>
      </c>
      <c r="N68" s="6"/>
      <c r="O68" s="1"/>
      <c r="P68" s="4">
        <v>58.94</v>
      </c>
      <c r="Q68" s="4">
        <v>61.09</v>
      </c>
      <c r="R68" s="4">
        <f>IF(
    OR(Dashboard_Query[[#This Row],[Monthly Allowance]]="",Dashboard_Query[[#This Row],[Current Usage]]=""),
    "",
    MAX(0,Dashboard_Query[[#This Row],[Monthly Allowance]]-Dashboard_Query[[#This Row],[Current Usage]])
)</f>
        <v>438.90999999999997</v>
      </c>
      <c r="S68" s="9">
        <f>IF(OR(Dashboard_Query[[#This Row],[Monthly Allowance]]="",Dashboard_Query[[#This Row],[Current Usage]]=""),"",Dashboard_Query[[#This Row],[Current Usage]]/Dashboard_Query[[#This Row],[Monthly Allowance]])</f>
        <v>0.12218000000000001</v>
      </c>
      <c r="T68" s="9">
        <f>IF(Dashboard_Query[[#This Row],[% Used]]="","",1-Dashboard_Query[[#This Row],[% Used]])</f>
        <v>0.87782000000000004</v>
      </c>
      <c r="U68" s="4">
        <f>IF(OR(Dashboard_Query[[#This Row],[Monthly Allowance]]="",Dashboard_Query[[#This Row],[Current Usage]]=""),"",MAX(0,Dashboard_Query[[#This Row],[Current Usage]]-Dashboard_Query[[#This Row],[Monthly Allowance]]))</f>
        <v>0</v>
      </c>
      <c r="V68" s="4" t="str">
        <f>IF(Dashboard_Query[[#This Row],[Monthly Allowance]]="","",IF(Dashboard_Query[[#This Row],[Overage]]&gt;0,"OVER",IF(Dashboard_Query[[#This Row],[% Used]]&gt;=0.8,"WARNING","OK")))</f>
        <v>OK</v>
      </c>
      <c r="W68" s="1"/>
      <c r="X68" s="1"/>
    </row>
    <row r="69" spans="1:24">
      <c r="A69" s="4" t="s">
        <v>257</v>
      </c>
      <c r="B69" s="4">
        <v>814643</v>
      </c>
      <c r="C69" s="4" t="s">
        <v>477</v>
      </c>
      <c r="D69" s="4" t="s">
        <v>478</v>
      </c>
      <c r="E69" s="4" t="s">
        <v>479</v>
      </c>
      <c r="F69" s="4">
        <v>211122269</v>
      </c>
      <c r="G69" s="6">
        <v>46253</v>
      </c>
      <c r="H69" s="6">
        <v>46253</v>
      </c>
      <c r="I69" s="32">
        <v>46284</v>
      </c>
      <c r="J69" s="1">
        <v>26</v>
      </c>
      <c r="K69" s="4">
        <v>1000</v>
      </c>
      <c r="L69" s="4" t="s">
        <v>122</v>
      </c>
      <c r="M69" s="4" t="s">
        <v>123</v>
      </c>
      <c r="N69" s="6">
        <v>46253</v>
      </c>
      <c r="O69" s="1"/>
      <c r="P69" s="4">
        <v>121.98</v>
      </c>
      <c r="Q69" s="4">
        <v>121.05</v>
      </c>
      <c r="R69" s="4">
        <f>IF(
    OR(Dashboard_Query[[#This Row],[Monthly Allowance]]="",Dashboard_Query[[#This Row],[Current Usage]]=""),
    "",
    MAX(0,Dashboard_Query[[#This Row],[Monthly Allowance]]-Dashboard_Query[[#This Row],[Current Usage]])
)</f>
        <v>878.95</v>
      </c>
      <c r="S69" s="9">
        <f>IF(OR(Dashboard_Query[[#This Row],[Monthly Allowance]]="",Dashboard_Query[[#This Row],[Current Usage]]=""),"",Dashboard_Query[[#This Row],[Current Usage]]/Dashboard_Query[[#This Row],[Monthly Allowance]])</f>
        <v>0.12104999999999999</v>
      </c>
      <c r="T69" s="9">
        <f>IF(Dashboard_Query[[#This Row],[% Used]]="","",1-Dashboard_Query[[#This Row],[% Used]])</f>
        <v>0.87895000000000001</v>
      </c>
      <c r="U69" s="4">
        <f>IF(OR(Dashboard_Query[[#This Row],[Monthly Allowance]]="",Dashboard_Query[[#This Row],[Current Usage]]=""),"",MAX(0,Dashboard_Query[[#This Row],[Current Usage]]-Dashboard_Query[[#This Row],[Monthly Allowance]]))</f>
        <v>0</v>
      </c>
      <c r="V69" s="4" t="str">
        <f>IF(Dashboard_Query[[#This Row],[Monthly Allowance]]="","",IF(Dashboard_Query[[#This Row],[Overage]]&gt;0,"OVER",IF(Dashboard_Query[[#This Row],[% Used]]&gt;=0.8,"WARNING","OK")))</f>
        <v>OK</v>
      </c>
      <c r="W69" s="1"/>
      <c r="X69" s="1"/>
    </row>
    <row r="70" spans="1:24">
      <c r="A70" s="4" t="s">
        <v>220</v>
      </c>
      <c r="B70" s="4">
        <v>809864</v>
      </c>
      <c r="C70" s="4" t="s">
        <v>472</v>
      </c>
      <c r="D70" s="4" t="s">
        <v>393</v>
      </c>
      <c r="E70" s="4" t="s">
        <v>128</v>
      </c>
      <c r="F70" s="4">
        <v>211122084</v>
      </c>
      <c r="G70" s="6">
        <v>46248</v>
      </c>
      <c r="H70" s="6">
        <v>46248</v>
      </c>
      <c r="I70" s="32">
        <v>46279</v>
      </c>
      <c r="J70" s="1">
        <v>21</v>
      </c>
      <c r="K70" s="4">
        <v>500</v>
      </c>
      <c r="L70" s="4" t="s">
        <v>122</v>
      </c>
      <c r="M70" s="4" t="s">
        <v>123</v>
      </c>
      <c r="N70" s="6">
        <v>46248</v>
      </c>
      <c r="O70" s="1"/>
      <c r="P70" s="4">
        <v>59.55</v>
      </c>
      <c r="Q70" s="4">
        <v>59.4</v>
      </c>
      <c r="R70" s="4">
        <f>IF(
    OR(Dashboard_Query[[#This Row],[Monthly Allowance]]="",Dashboard_Query[[#This Row],[Current Usage]]=""),
    "",
    MAX(0,Dashboard_Query[[#This Row],[Monthly Allowance]]-Dashboard_Query[[#This Row],[Current Usage]])
)</f>
        <v>440.6</v>
      </c>
      <c r="S70" s="9">
        <f>IF(OR(Dashboard_Query[[#This Row],[Monthly Allowance]]="",Dashboard_Query[[#This Row],[Current Usage]]=""),"",Dashboard_Query[[#This Row],[Current Usage]]/Dashboard_Query[[#This Row],[Monthly Allowance]])</f>
        <v>0.1188</v>
      </c>
      <c r="T70" s="9">
        <f>IF(Dashboard_Query[[#This Row],[% Used]]="","",1-Dashboard_Query[[#This Row],[% Used]])</f>
        <v>0.88119999999999998</v>
      </c>
      <c r="U70" s="4">
        <f>IF(OR(Dashboard_Query[[#This Row],[Monthly Allowance]]="",Dashboard_Query[[#This Row],[Current Usage]]=""),"",MAX(0,Dashboard_Query[[#This Row],[Current Usage]]-Dashboard_Query[[#This Row],[Monthly Allowance]]))</f>
        <v>0</v>
      </c>
      <c r="V70" s="4" t="str">
        <f>IF(Dashboard_Query[[#This Row],[Monthly Allowance]]="","",IF(Dashboard_Query[[#This Row],[Overage]]&gt;0,"OVER",IF(Dashboard_Query[[#This Row],[% Used]]&gt;=0.8,"WARNING","OK")))</f>
        <v>OK</v>
      </c>
      <c r="W70" s="1"/>
      <c r="X70" s="1"/>
    </row>
    <row r="71" spans="1:24">
      <c r="A71" s="4" t="s">
        <v>221</v>
      </c>
      <c r="B71" s="4">
        <v>809663</v>
      </c>
      <c r="C71" s="4" t="s">
        <v>186</v>
      </c>
      <c r="D71" s="4" t="s">
        <v>187</v>
      </c>
      <c r="E71" s="4" t="s">
        <v>188</v>
      </c>
      <c r="F71" s="4">
        <v>211121633</v>
      </c>
      <c r="G71" s="6">
        <v>46237</v>
      </c>
      <c r="H71" s="6">
        <v>46237</v>
      </c>
      <c r="I71" s="32">
        <v>46268</v>
      </c>
      <c r="J71" s="1">
        <v>10</v>
      </c>
      <c r="K71" s="4">
        <v>500</v>
      </c>
      <c r="L71" s="4" t="s">
        <v>122</v>
      </c>
      <c r="M71" s="4" t="s">
        <v>123</v>
      </c>
      <c r="N71" s="6">
        <v>46237</v>
      </c>
      <c r="O71" s="1"/>
      <c r="P71" s="4">
        <v>59.03</v>
      </c>
      <c r="Q71" s="4">
        <v>59.03</v>
      </c>
      <c r="R71" s="4">
        <f>IF(
    OR(Dashboard_Query[[#This Row],[Monthly Allowance]]="",Dashboard_Query[[#This Row],[Current Usage]]=""),
    "",
    MAX(0,Dashboard_Query[[#This Row],[Monthly Allowance]]-Dashboard_Query[[#This Row],[Current Usage]])
)</f>
        <v>440.97</v>
      </c>
      <c r="S71" s="9">
        <f>IF(OR(Dashboard_Query[[#This Row],[Monthly Allowance]]="",Dashboard_Query[[#This Row],[Current Usage]]=""),"",Dashboard_Query[[#This Row],[Current Usage]]/Dashboard_Query[[#This Row],[Monthly Allowance]])</f>
        <v>0.11806</v>
      </c>
      <c r="T71" s="9">
        <f>IF(Dashboard_Query[[#This Row],[% Used]]="","",1-Dashboard_Query[[#This Row],[% Used]])</f>
        <v>0.88193999999999995</v>
      </c>
      <c r="U71" s="4">
        <f>IF(OR(Dashboard_Query[[#This Row],[Monthly Allowance]]="",Dashboard_Query[[#This Row],[Current Usage]]=""),"",MAX(0,Dashboard_Query[[#This Row],[Current Usage]]-Dashboard_Query[[#This Row],[Monthly Allowance]]))</f>
        <v>0</v>
      </c>
      <c r="V71" s="4" t="str">
        <f>IF(Dashboard_Query[[#This Row],[Monthly Allowance]]="","",IF(Dashboard_Query[[#This Row],[Overage]]&gt;0,"OVER",IF(Dashboard_Query[[#This Row],[% Used]]&gt;=0.8,"WARNING","OK")))</f>
        <v>OK</v>
      </c>
      <c r="W71" s="1"/>
      <c r="X71" s="1"/>
    </row>
    <row r="72" spans="1:24" hidden="1">
      <c r="A72" s="4" t="s">
        <v>169</v>
      </c>
      <c r="B72" s="4">
        <v>812827</v>
      </c>
      <c r="C72" s="4"/>
      <c r="D72" s="4"/>
      <c r="E72" s="4"/>
      <c r="F72" s="4"/>
      <c r="G72" s="6"/>
      <c r="H72" s="6"/>
      <c r="I72" s="32"/>
      <c r="J72" s="1"/>
      <c r="K72" s="4">
        <v>500</v>
      </c>
      <c r="L72" s="4" t="s">
        <v>122</v>
      </c>
      <c r="M72" s="4" t="s">
        <v>35</v>
      </c>
      <c r="N72" s="6"/>
      <c r="O72" s="1"/>
      <c r="P72" s="4">
        <v>48.24</v>
      </c>
      <c r="Q72" s="4">
        <v>55.94</v>
      </c>
      <c r="R72" s="4">
        <f>IF(
    OR(Dashboard_Query[[#This Row],[Monthly Allowance]]="",Dashboard_Query[[#This Row],[Current Usage]]=""),
    "",
    MAX(0,Dashboard_Query[[#This Row],[Monthly Allowance]]-Dashboard_Query[[#This Row],[Current Usage]])
)</f>
        <v>444.06</v>
      </c>
      <c r="S72" s="9">
        <f>IF(OR(Dashboard_Query[[#This Row],[Monthly Allowance]]="",Dashboard_Query[[#This Row],[Current Usage]]=""),"",Dashboard_Query[[#This Row],[Current Usage]]/Dashboard_Query[[#This Row],[Monthly Allowance]])</f>
        <v>0.11187999999999999</v>
      </c>
      <c r="T72" s="9">
        <f>IF(Dashboard_Query[[#This Row],[% Used]]="","",1-Dashboard_Query[[#This Row],[% Used]])</f>
        <v>0.88812000000000002</v>
      </c>
      <c r="U72" s="4">
        <f>IF(OR(Dashboard_Query[[#This Row],[Monthly Allowance]]="",Dashboard_Query[[#This Row],[Current Usage]]=""),"",MAX(0,Dashboard_Query[[#This Row],[Current Usage]]-Dashboard_Query[[#This Row],[Monthly Allowance]]))</f>
        <v>0</v>
      </c>
      <c r="V72" s="4" t="str">
        <f>IF(Dashboard_Query[[#This Row],[Monthly Allowance]]="","",IF(Dashboard_Query[[#This Row],[Overage]]&gt;0,"OVER",IF(Dashboard_Query[[#This Row],[% Used]]&gt;=0.8,"WARNING","OK")))</f>
        <v>OK</v>
      </c>
      <c r="W72" s="1"/>
      <c r="X72" s="1"/>
    </row>
    <row r="73" spans="1:24">
      <c r="A73" s="4" t="s">
        <v>144</v>
      </c>
      <c r="B73" s="4">
        <v>814462</v>
      </c>
      <c r="C73" s="4" t="s">
        <v>472</v>
      </c>
      <c r="D73" s="4" t="s">
        <v>393</v>
      </c>
      <c r="E73" s="4" t="s">
        <v>128</v>
      </c>
      <c r="F73" s="4">
        <v>211122084</v>
      </c>
      <c r="G73" s="6">
        <v>46248</v>
      </c>
      <c r="H73" s="6">
        <v>46248</v>
      </c>
      <c r="I73" s="32">
        <v>46279</v>
      </c>
      <c r="J73" s="1">
        <v>21</v>
      </c>
      <c r="K73" s="4">
        <v>500</v>
      </c>
      <c r="L73" s="4" t="s">
        <v>122</v>
      </c>
      <c r="M73" s="4" t="s">
        <v>123</v>
      </c>
      <c r="N73" s="6">
        <v>46248</v>
      </c>
      <c r="O73" s="1"/>
      <c r="P73" s="4">
        <v>81.08</v>
      </c>
      <c r="Q73" s="4">
        <v>55.26</v>
      </c>
      <c r="R73" s="4">
        <f>IF(
    OR(Dashboard_Query[[#This Row],[Monthly Allowance]]="",Dashboard_Query[[#This Row],[Current Usage]]=""),
    "",
    MAX(0,Dashboard_Query[[#This Row],[Monthly Allowance]]-Dashboard_Query[[#This Row],[Current Usage]])
)</f>
        <v>444.74</v>
      </c>
      <c r="S73" s="9">
        <f>IF(OR(Dashboard_Query[[#This Row],[Monthly Allowance]]="",Dashboard_Query[[#This Row],[Current Usage]]=""),"",Dashboard_Query[[#This Row],[Current Usage]]/Dashboard_Query[[#This Row],[Monthly Allowance]])</f>
        <v>0.11051999999999999</v>
      </c>
      <c r="T73" s="9">
        <f>IF(Dashboard_Query[[#This Row],[% Used]]="","",1-Dashboard_Query[[#This Row],[% Used]])</f>
        <v>0.88948000000000005</v>
      </c>
      <c r="U73" s="4">
        <f>IF(OR(Dashboard_Query[[#This Row],[Monthly Allowance]]="",Dashboard_Query[[#This Row],[Current Usage]]=""),"",MAX(0,Dashboard_Query[[#This Row],[Current Usage]]-Dashboard_Query[[#This Row],[Monthly Allowance]]))</f>
        <v>0</v>
      </c>
      <c r="V73" s="4" t="str">
        <f>IF(Dashboard_Query[[#This Row],[Monthly Allowance]]="","",IF(Dashboard_Query[[#This Row],[Overage]]&gt;0,"OVER",IF(Dashboard_Query[[#This Row],[% Used]]&gt;=0.8,"WARNING","OK")))</f>
        <v>OK</v>
      </c>
      <c r="W73" s="1"/>
      <c r="X73" s="1"/>
    </row>
    <row r="74" spans="1:24">
      <c r="A74" s="4" t="s">
        <v>195</v>
      </c>
      <c r="B74" s="4">
        <v>814440</v>
      </c>
      <c r="C74" s="4" t="s">
        <v>472</v>
      </c>
      <c r="D74" s="4" t="s">
        <v>393</v>
      </c>
      <c r="E74" s="4" t="s">
        <v>128</v>
      </c>
      <c r="F74" s="4">
        <v>211122084</v>
      </c>
      <c r="G74" s="6">
        <v>46248</v>
      </c>
      <c r="H74" s="6">
        <v>46248</v>
      </c>
      <c r="I74" s="32">
        <v>46279</v>
      </c>
      <c r="J74" s="1">
        <v>21</v>
      </c>
      <c r="K74" s="4">
        <v>500</v>
      </c>
      <c r="L74" s="4" t="s">
        <v>122</v>
      </c>
      <c r="M74" s="4" t="s">
        <v>123</v>
      </c>
      <c r="N74" s="6">
        <v>46248</v>
      </c>
      <c r="O74" s="1"/>
      <c r="P74" s="4">
        <v>104.13</v>
      </c>
      <c r="Q74" s="4">
        <v>53.519999999999996</v>
      </c>
      <c r="R74" s="4">
        <f>IF(
    OR(Dashboard_Query[[#This Row],[Monthly Allowance]]="",Dashboard_Query[[#This Row],[Current Usage]]=""),
    "",
    MAX(0,Dashboard_Query[[#This Row],[Monthly Allowance]]-Dashboard_Query[[#This Row],[Current Usage]])
)</f>
        <v>446.48</v>
      </c>
      <c r="S74" s="9">
        <f>IF(OR(Dashboard_Query[[#This Row],[Monthly Allowance]]="",Dashboard_Query[[#This Row],[Current Usage]]=""),"",Dashboard_Query[[#This Row],[Current Usage]]/Dashboard_Query[[#This Row],[Monthly Allowance]])</f>
        <v>0.10704</v>
      </c>
      <c r="T74" s="9">
        <f>IF(Dashboard_Query[[#This Row],[% Used]]="","",1-Dashboard_Query[[#This Row],[% Used]])</f>
        <v>0.89295999999999998</v>
      </c>
      <c r="U74" s="4">
        <f>IF(OR(Dashboard_Query[[#This Row],[Monthly Allowance]]="",Dashboard_Query[[#This Row],[Current Usage]]=""),"",MAX(0,Dashboard_Query[[#This Row],[Current Usage]]-Dashboard_Query[[#This Row],[Monthly Allowance]]))</f>
        <v>0</v>
      </c>
      <c r="V74" s="4" t="str">
        <f>IF(Dashboard_Query[[#This Row],[Monthly Allowance]]="","",IF(Dashboard_Query[[#This Row],[Overage]]&gt;0,"OVER",IF(Dashboard_Query[[#This Row],[% Used]]&gt;=0.8,"WARNING","OK")))</f>
        <v>OK</v>
      </c>
      <c r="W74" s="1"/>
      <c r="X74" s="1"/>
    </row>
    <row r="75" spans="1:24">
      <c r="A75" s="4" t="s">
        <v>289</v>
      </c>
      <c r="B75" s="4">
        <v>809657</v>
      </c>
      <c r="C75" s="4" t="s">
        <v>472</v>
      </c>
      <c r="D75" s="4" t="s">
        <v>393</v>
      </c>
      <c r="E75" s="4" t="s">
        <v>128</v>
      </c>
      <c r="F75" s="4">
        <v>211122084</v>
      </c>
      <c r="G75" s="6">
        <v>46248</v>
      </c>
      <c r="H75" s="6">
        <v>46248</v>
      </c>
      <c r="I75" s="32">
        <v>46279</v>
      </c>
      <c r="J75" s="1">
        <v>21</v>
      </c>
      <c r="K75" s="4">
        <v>500</v>
      </c>
      <c r="L75" s="4" t="s">
        <v>122</v>
      </c>
      <c r="M75" s="4" t="s">
        <v>123</v>
      </c>
      <c r="N75" s="6">
        <v>46248</v>
      </c>
      <c r="O75" s="1"/>
      <c r="P75" s="4">
        <v>52.81</v>
      </c>
      <c r="Q75" s="4">
        <v>52.81</v>
      </c>
      <c r="R75" s="4">
        <f>IF(
    OR(Dashboard_Query[[#This Row],[Monthly Allowance]]="",Dashboard_Query[[#This Row],[Current Usage]]=""),
    "",
    MAX(0,Dashboard_Query[[#This Row],[Monthly Allowance]]-Dashboard_Query[[#This Row],[Current Usage]])
)</f>
        <v>447.19</v>
      </c>
      <c r="S75" s="9">
        <f>IF(OR(Dashboard_Query[[#This Row],[Monthly Allowance]]="",Dashboard_Query[[#This Row],[Current Usage]]=""),"",Dashboard_Query[[#This Row],[Current Usage]]/Dashboard_Query[[#This Row],[Monthly Allowance]])</f>
        <v>0.10562000000000001</v>
      </c>
      <c r="T75" s="9">
        <f>IF(Dashboard_Query[[#This Row],[% Used]]="","",1-Dashboard_Query[[#This Row],[% Used]])</f>
        <v>0.89437999999999995</v>
      </c>
      <c r="U75" s="4">
        <f>IF(OR(Dashboard_Query[[#This Row],[Monthly Allowance]]="",Dashboard_Query[[#This Row],[Current Usage]]=""),"",MAX(0,Dashboard_Query[[#This Row],[Current Usage]]-Dashboard_Query[[#This Row],[Monthly Allowance]]))</f>
        <v>0</v>
      </c>
      <c r="V75" s="4" t="str">
        <f>IF(Dashboard_Query[[#This Row],[Monthly Allowance]]="","",IF(Dashboard_Query[[#This Row],[Overage]]&gt;0,"OVER",IF(Dashboard_Query[[#This Row],[% Used]]&gt;=0.8,"WARNING","OK")))</f>
        <v>OK</v>
      </c>
      <c r="W75" s="1"/>
      <c r="X75" s="1"/>
    </row>
    <row r="76" spans="1:24">
      <c r="A76" s="4" t="s">
        <v>201</v>
      </c>
      <c r="B76" s="4">
        <v>809622</v>
      </c>
      <c r="C76" s="4" t="s">
        <v>472</v>
      </c>
      <c r="D76" s="4" t="s">
        <v>393</v>
      </c>
      <c r="E76" s="4" t="s">
        <v>128</v>
      </c>
      <c r="F76" s="4">
        <v>211122084</v>
      </c>
      <c r="G76" s="6">
        <v>46248</v>
      </c>
      <c r="H76" s="6">
        <v>46248</v>
      </c>
      <c r="I76" s="32">
        <v>46279</v>
      </c>
      <c r="J76" s="1">
        <v>21</v>
      </c>
      <c r="K76" s="4">
        <v>500</v>
      </c>
      <c r="L76" s="4" t="s">
        <v>122</v>
      </c>
      <c r="M76" s="4" t="s">
        <v>123</v>
      </c>
      <c r="N76" s="6">
        <v>46248</v>
      </c>
      <c r="O76" s="1"/>
      <c r="P76" s="4">
        <v>85.61</v>
      </c>
      <c r="Q76" s="4">
        <v>51.68</v>
      </c>
      <c r="R76" s="4">
        <f>IF(
    OR(Dashboard_Query[[#This Row],[Monthly Allowance]]="",Dashboard_Query[[#This Row],[Current Usage]]=""),
    "",
    MAX(0,Dashboard_Query[[#This Row],[Monthly Allowance]]-Dashboard_Query[[#This Row],[Current Usage]])
)</f>
        <v>448.32</v>
      </c>
      <c r="S76" s="9">
        <f>IF(OR(Dashboard_Query[[#This Row],[Monthly Allowance]]="",Dashboard_Query[[#This Row],[Current Usage]]=""),"",Dashboard_Query[[#This Row],[Current Usage]]/Dashboard_Query[[#This Row],[Monthly Allowance]])</f>
        <v>0.10335999999999999</v>
      </c>
      <c r="T76" s="9">
        <f>IF(Dashboard_Query[[#This Row],[% Used]]="","",1-Dashboard_Query[[#This Row],[% Used]])</f>
        <v>0.89663999999999999</v>
      </c>
      <c r="U76" s="4">
        <f>IF(OR(Dashboard_Query[[#This Row],[Monthly Allowance]]="",Dashboard_Query[[#This Row],[Current Usage]]=""),"",MAX(0,Dashboard_Query[[#This Row],[Current Usage]]-Dashboard_Query[[#This Row],[Monthly Allowance]]))</f>
        <v>0</v>
      </c>
      <c r="V76" s="4" t="str">
        <f>IF(Dashboard_Query[[#This Row],[Monthly Allowance]]="","",IF(Dashboard_Query[[#This Row],[Overage]]&gt;0,"OVER",IF(Dashboard_Query[[#This Row],[% Used]]&gt;=0.8,"WARNING","OK")))</f>
        <v>OK</v>
      </c>
      <c r="W76" s="1"/>
      <c r="X76" s="1"/>
    </row>
    <row r="77" spans="1:24">
      <c r="A77" s="4" t="s">
        <v>193</v>
      </c>
      <c r="B77" s="4">
        <v>814483</v>
      </c>
      <c r="C77" s="4" t="s">
        <v>137</v>
      </c>
      <c r="D77" s="4" t="s">
        <v>138</v>
      </c>
      <c r="E77" s="4" t="s">
        <v>139</v>
      </c>
      <c r="F77" s="4">
        <v>211121030</v>
      </c>
      <c r="G77" s="6">
        <v>46217</v>
      </c>
      <c r="H77" s="6">
        <v>46248</v>
      </c>
      <c r="I77" s="32">
        <v>46279</v>
      </c>
      <c r="J77" s="1">
        <v>21</v>
      </c>
      <c r="K77" s="4">
        <v>500</v>
      </c>
      <c r="L77" s="4" t="s">
        <v>122</v>
      </c>
      <c r="M77" s="4" t="s">
        <v>123</v>
      </c>
      <c r="N77" s="6">
        <v>46248</v>
      </c>
      <c r="O77" s="1"/>
      <c r="P77" s="4">
        <v>111.45</v>
      </c>
      <c r="Q77" s="4">
        <v>49.78</v>
      </c>
      <c r="R77" s="4">
        <f>IF(
    OR(Dashboard_Query[[#This Row],[Monthly Allowance]]="",Dashboard_Query[[#This Row],[Current Usage]]=""),
    "",
    MAX(0,Dashboard_Query[[#This Row],[Monthly Allowance]]-Dashboard_Query[[#This Row],[Current Usage]])
)</f>
        <v>450.22</v>
      </c>
      <c r="S77" s="9">
        <f>IF(OR(Dashboard_Query[[#This Row],[Monthly Allowance]]="",Dashboard_Query[[#This Row],[Current Usage]]=""),"",Dashboard_Query[[#This Row],[Current Usage]]/Dashboard_Query[[#This Row],[Monthly Allowance]])</f>
        <v>9.9559999999999996E-2</v>
      </c>
      <c r="T77" s="9">
        <f>IF(Dashboard_Query[[#This Row],[% Used]]="","",1-Dashboard_Query[[#This Row],[% Used]])</f>
        <v>0.90044000000000002</v>
      </c>
      <c r="U77" s="4">
        <f>IF(OR(Dashboard_Query[[#This Row],[Monthly Allowance]]="",Dashboard_Query[[#This Row],[Current Usage]]=""),"",MAX(0,Dashboard_Query[[#This Row],[Current Usage]]-Dashboard_Query[[#This Row],[Monthly Allowance]]))</f>
        <v>0</v>
      </c>
      <c r="V77" s="4" t="str">
        <f>IF(Dashboard_Query[[#This Row],[Monthly Allowance]]="","",IF(Dashboard_Query[[#This Row],[Overage]]&gt;0,"OVER",IF(Dashboard_Query[[#This Row],[% Used]]&gt;=0.8,"WARNING","OK")))</f>
        <v>OK</v>
      </c>
      <c r="W77" s="1"/>
      <c r="X77" s="1"/>
    </row>
    <row r="78" spans="1:24" hidden="1">
      <c r="A78" s="4" t="s">
        <v>168</v>
      </c>
      <c r="B78" s="4">
        <v>809615</v>
      </c>
      <c r="C78" s="4"/>
      <c r="D78" s="4"/>
      <c r="E78" s="4"/>
      <c r="F78" s="4"/>
      <c r="G78" s="6"/>
      <c r="H78" s="6"/>
      <c r="I78" s="32"/>
      <c r="J78" s="1"/>
      <c r="K78" s="4">
        <v>500</v>
      </c>
      <c r="L78" s="4" t="s">
        <v>122</v>
      </c>
      <c r="M78" s="4" t="s">
        <v>35</v>
      </c>
      <c r="N78" s="6"/>
      <c r="O78" s="1"/>
      <c r="P78" s="4">
        <v>46.47</v>
      </c>
      <c r="Q78" s="4">
        <v>49.75</v>
      </c>
      <c r="R78" s="4">
        <f>IF(
    OR(Dashboard_Query[[#This Row],[Monthly Allowance]]="",Dashboard_Query[[#This Row],[Current Usage]]=""),
    "",
    MAX(0,Dashboard_Query[[#This Row],[Monthly Allowance]]-Dashboard_Query[[#This Row],[Current Usage]])
)</f>
        <v>450.25</v>
      </c>
      <c r="S78" s="9">
        <f>IF(OR(Dashboard_Query[[#This Row],[Monthly Allowance]]="",Dashboard_Query[[#This Row],[Current Usage]]=""),"",Dashboard_Query[[#This Row],[Current Usage]]/Dashboard_Query[[#This Row],[Monthly Allowance]])</f>
        <v>9.9500000000000005E-2</v>
      </c>
      <c r="T78" s="9">
        <f>IF(Dashboard_Query[[#This Row],[% Used]]="","",1-Dashboard_Query[[#This Row],[% Used]])</f>
        <v>0.90049999999999997</v>
      </c>
      <c r="U78" s="4">
        <f>IF(OR(Dashboard_Query[[#This Row],[Monthly Allowance]]="",Dashboard_Query[[#This Row],[Current Usage]]=""),"",MAX(0,Dashboard_Query[[#This Row],[Current Usage]]-Dashboard_Query[[#This Row],[Monthly Allowance]]))</f>
        <v>0</v>
      </c>
      <c r="V78" s="4" t="str">
        <f>IF(Dashboard_Query[[#This Row],[Monthly Allowance]]="","",IF(Dashboard_Query[[#This Row],[Overage]]&gt;0,"OVER",IF(Dashboard_Query[[#This Row],[% Used]]&gt;=0.8,"WARNING","OK")))</f>
        <v>OK</v>
      </c>
      <c r="W78" s="1"/>
      <c r="X78" s="1"/>
    </row>
    <row r="79" spans="1:24" hidden="1">
      <c r="A79" s="4" t="s">
        <v>170</v>
      </c>
      <c r="B79" s="4">
        <v>809620</v>
      </c>
      <c r="C79" s="4"/>
      <c r="D79" s="4"/>
      <c r="E79" s="4"/>
      <c r="F79" s="4"/>
      <c r="G79" s="6"/>
      <c r="H79" s="6"/>
      <c r="I79" s="32"/>
      <c r="J79" s="1"/>
      <c r="K79" s="4">
        <v>500</v>
      </c>
      <c r="L79" s="4" t="s">
        <v>122</v>
      </c>
      <c r="M79" s="4" t="s">
        <v>35</v>
      </c>
      <c r="N79" s="6"/>
      <c r="O79" s="1"/>
      <c r="P79" s="4">
        <v>45.31</v>
      </c>
      <c r="Q79" s="4">
        <v>48.27</v>
      </c>
      <c r="R79" s="4">
        <f>IF(
    OR(Dashboard_Query[[#This Row],[Monthly Allowance]]="",Dashboard_Query[[#This Row],[Current Usage]]=""),
    "",
    MAX(0,Dashboard_Query[[#This Row],[Monthly Allowance]]-Dashboard_Query[[#This Row],[Current Usage]])
)</f>
        <v>451.73</v>
      </c>
      <c r="S79" s="9">
        <f>IF(OR(Dashboard_Query[[#This Row],[Monthly Allowance]]="",Dashboard_Query[[#This Row],[Current Usage]]=""),"",Dashboard_Query[[#This Row],[Current Usage]]/Dashboard_Query[[#This Row],[Monthly Allowance]])</f>
        <v>9.6540000000000001E-2</v>
      </c>
      <c r="T79" s="9">
        <f>IF(Dashboard_Query[[#This Row],[% Used]]="","",1-Dashboard_Query[[#This Row],[% Used]])</f>
        <v>0.90346000000000004</v>
      </c>
      <c r="U79" s="4">
        <f>IF(OR(Dashboard_Query[[#This Row],[Monthly Allowance]]="",Dashboard_Query[[#This Row],[Current Usage]]=""),"",MAX(0,Dashboard_Query[[#This Row],[Current Usage]]-Dashboard_Query[[#This Row],[Monthly Allowance]]))</f>
        <v>0</v>
      </c>
      <c r="V79" s="4" t="str">
        <f>IF(Dashboard_Query[[#This Row],[Monthly Allowance]]="","",IF(Dashboard_Query[[#This Row],[Overage]]&gt;0,"OVER",IF(Dashboard_Query[[#This Row],[% Used]]&gt;=0.8,"WARNING","OK")))</f>
        <v>OK</v>
      </c>
      <c r="W79" s="1"/>
      <c r="X79" s="1"/>
    </row>
    <row r="80" spans="1:24">
      <c r="A80" s="4" t="s">
        <v>150</v>
      </c>
      <c r="B80" s="4">
        <v>814479</v>
      </c>
      <c r="C80" s="4" t="s">
        <v>472</v>
      </c>
      <c r="D80" s="4" t="s">
        <v>393</v>
      </c>
      <c r="E80" s="4" t="s">
        <v>128</v>
      </c>
      <c r="F80" s="4">
        <v>211122084</v>
      </c>
      <c r="G80" s="6">
        <v>46248</v>
      </c>
      <c r="H80" s="6">
        <v>46248</v>
      </c>
      <c r="I80" s="32">
        <v>46279</v>
      </c>
      <c r="J80" s="1">
        <v>21</v>
      </c>
      <c r="K80" s="4">
        <v>500</v>
      </c>
      <c r="L80" s="4" t="s">
        <v>122</v>
      </c>
      <c r="M80" s="4" t="s">
        <v>123</v>
      </c>
      <c r="N80" s="6">
        <v>46248</v>
      </c>
      <c r="O80" s="1"/>
      <c r="P80" s="4">
        <v>87.9</v>
      </c>
      <c r="Q80" s="4">
        <v>48.010000000000005</v>
      </c>
      <c r="R80" s="4">
        <f>IF(
    OR(Dashboard_Query[[#This Row],[Monthly Allowance]]="",Dashboard_Query[[#This Row],[Current Usage]]=""),
    "",
    MAX(0,Dashboard_Query[[#This Row],[Monthly Allowance]]-Dashboard_Query[[#This Row],[Current Usage]])
)</f>
        <v>451.99</v>
      </c>
      <c r="S80" s="9">
        <f>IF(OR(Dashboard_Query[[#This Row],[Monthly Allowance]]="",Dashboard_Query[[#This Row],[Current Usage]]=""),"",Dashboard_Query[[#This Row],[Current Usage]]/Dashboard_Query[[#This Row],[Monthly Allowance]])</f>
        <v>9.6020000000000008E-2</v>
      </c>
      <c r="T80" s="9">
        <f>IF(Dashboard_Query[[#This Row],[% Used]]="","",1-Dashboard_Query[[#This Row],[% Used]])</f>
        <v>0.90398000000000001</v>
      </c>
      <c r="U80" s="4">
        <f>IF(OR(Dashboard_Query[[#This Row],[Monthly Allowance]]="",Dashboard_Query[[#This Row],[Current Usage]]=""),"",MAX(0,Dashboard_Query[[#This Row],[Current Usage]]-Dashboard_Query[[#This Row],[Monthly Allowance]]))</f>
        <v>0</v>
      </c>
      <c r="V80" s="4" t="str">
        <f>IF(Dashboard_Query[[#This Row],[Monthly Allowance]]="","",IF(Dashboard_Query[[#This Row],[Overage]]&gt;0,"OVER",IF(Dashboard_Query[[#This Row],[% Used]]&gt;=0.8,"WARNING","OK")))</f>
        <v>OK</v>
      </c>
      <c r="W80" s="1"/>
      <c r="X80" s="1"/>
    </row>
    <row r="81" spans="1:24">
      <c r="A81" s="4" t="s">
        <v>356</v>
      </c>
      <c r="B81" s="4">
        <v>809862</v>
      </c>
      <c r="C81" s="4" t="s">
        <v>186</v>
      </c>
      <c r="D81" s="4" t="s">
        <v>187</v>
      </c>
      <c r="E81" s="4" t="s">
        <v>188</v>
      </c>
      <c r="F81" s="4">
        <v>211121633</v>
      </c>
      <c r="G81" s="6">
        <v>46237</v>
      </c>
      <c r="H81" s="6">
        <v>46237</v>
      </c>
      <c r="I81" s="32">
        <v>46268</v>
      </c>
      <c r="J81" s="1">
        <v>10</v>
      </c>
      <c r="K81" s="4">
        <v>500</v>
      </c>
      <c r="L81" s="4" t="s">
        <v>122</v>
      </c>
      <c r="M81" s="4" t="s">
        <v>123</v>
      </c>
      <c r="N81" s="6">
        <v>46237</v>
      </c>
      <c r="O81" s="1"/>
      <c r="P81" s="4">
        <v>46.66</v>
      </c>
      <c r="Q81" s="4">
        <v>46.66</v>
      </c>
      <c r="R81" s="4">
        <f>IF(
    OR(Dashboard_Query[[#This Row],[Monthly Allowance]]="",Dashboard_Query[[#This Row],[Current Usage]]=""),
    "",
    MAX(0,Dashboard_Query[[#This Row],[Monthly Allowance]]-Dashboard_Query[[#This Row],[Current Usage]])
)</f>
        <v>453.34000000000003</v>
      </c>
      <c r="S81" s="9">
        <f>IF(OR(Dashboard_Query[[#This Row],[Monthly Allowance]]="",Dashboard_Query[[#This Row],[Current Usage]]=""),"",Dashboard_Query[[#This Row],[Current Usage]]/Dashboard_Query[[#This Row],[Monthly Allowance]])</f>
        <v>9.3319999999999986E-2</v>
      </c>
      <c r="T81" s="9">
        <f>IF(Dashboard_Query[[#This Row],[% Used]]="","",1-Dashboard_Query[[#This Row],[% Used]])</f>
        <v>0.90668000000000004</v>
      </c>
      <c r="U81" s="4">
        <f>IF(OR(Dashboard_Query[[#This Row],[Monthly Allowance]]="",Dashboard_Query[[#This Row],[Current Usage]]=""),"",MAX(0,Dashboard_Query[[#This Row],[Current Usage]]-Dashboard_Query[[#This Row],[Monthly Allowance]]))</f>
        <v>0</v>
      </c>
      <c r="V81" s="4" t="str">
        <f>IF(Dashboard_Query[[#This Row],[Monthly Allowance]]="","",IF(Dashboard_Query[[#This Row],[Overage]]&gt;0,"OVER",IF(Dashboard_Query[[#This Row],[% Used]]&gt;=0.8,"WARNING","OK")))</f>
        <v>OK</v>
      </c>
      <c r="W81" s="1"/>
      <c r="X81" s="1"/>
    </row>
    <row r="82" spans="1:24">
      <c r="A82" s="4" t="s">
        <v>274</v>
      </c>
      <c r="B82" s="4">
        <v>809859</v>
      </c>
      <c r="C82" s="4" t="s">
        <v>229</v>
      </c>
      <c r="D82" s="4" t="s">
        <v>230</v>
      </c>
      <c r="E82" s="4" t="s">
        <v>231</v>
      </c>
      <c r="F82" s="4">
        <v>211121626</v>
      </c>
      <c r="G82" s="6">
        <v>46235</v>
      </c>
      <c r="H82" s="6">
        <v>46235</v>
      </c>
      <c r="I82" s="32">
        <v>46266</v>
      </c>
      <c r="J82" s="1">
        <v>8</v>
      </c>
      <c r="K82" s="4">
        <v>500</v>
      </c>
      <c r="L82" s="4" t="s">
        <v>122</v>
      </c>
      <c r="M82" s="4" t="s">
        <v>123</v>
      </c>
      <c r="N82" s="6">
        <v>46235</v>
      </c>
      <c r="O82" s="1"/>
      <c r="P82" s="4">
        <v>45.22</v>
      </c>
      <c r="Q82" s="4">
        <v>45.22</v>
      </c>
      <c r="R82" s="4">
        <f>IF(
    OR(Dashboard_Query[[#This Row],[Monthly Allowance]]="",Dashboard_Query[[#This Row],[Current Usage]]=""),
    "",
    MAX(0,Dashboard_Query[[#This Row],[Monthly Allowance]]-Dashboard_Query[[#This Row],[Current Usage]])
)</f>
        <v>454.78</v>
      </c>
      <c r="S82" s="9">
        <f>IF(OR(Dashboard_Query[[#This Row],[Monthly Allowance]]="",Dashboard_Query[[#This Row],[Current Usage]]=""),"",Dashboard_Query[[#This Row],[Current Usage]]/Dashboard_Query[[#This Row],[Monthly Allowance]])</f>
        <v>9.0439999999999993E-2</v>
      </c>
      <c r="T82" s="9">
        <f>IF(Dashboard_Query[[#This Row],[% Used]]="","",1-Dashboard_Query[[#This Row],[% Used]])</f>
        <v>0.90956000000000004</v>
      </c>
      <c r="U82" s="4">
        <f>IF(OR(Dashboard_Query[[#This Row],[Monthly Allowance]]="",Dashboard_Query[[#This Row],[Current Usage]]=""),"",MAX(0,Dashboard_Query[[#This Row],[Current Usage]]-Dashboard_Query[[#This Row],[Monthly Allowance]]))</f>
        <v>0</v>
      </c>
      <c r="V82" s="4" t="str">
        <f>IF(Dashboard_Query[[#This Row],[Monthly Allowance]]="","",IF(Dashboard_Query[[#This Row],[Overage]]&gt;0,"OVER",IF(Dashboard_Query[[#This Row],[% Used]]&gt;=0.8,"WARNING","OK")))</f>
        <v>OK</v>
      </c>
      <c r="W82" s="1"/>
      <c r="X82" s="1"/>
    </row>
    <row r="83" spans="1:24" hidden="1">
      <c r="A83" s="4" t="s">
        <v>199</v>
      </c>
      <c r="B83" s="4">
        <v>814447</v>
      </c>
      <c r="C83" s="4"/>
      <c r="D83" s="4"/>
      <c r="E83" s="4"/>
      <c r="F83" s="4"/>
      <c r="G83" s="6"/>
      <c r="H83" s="6"/>
      <c r="I83" s="32"/>
      <c r="J83" s="1"/>
      <c r="K83" s="4">
        <v>500</v>
      </c>
      <c r="L83" s="4" t="s">
        <v>122</v>
      </c>
      <c r="M83" s="4" t="s">
        <v>35</v>
      </c>
      <c r="N83" s="6"/>
      <c r="O83" s="1"/>
      <c r="P83" s="4">
        <v>41.87</v>
      </c>
      <c r="Q83" s="4">
        <v>43.55</v>
      </c>
      <c r="R83" s="4">
        <f>IF(
    OR(Dashboard_Query[[#This Row],[Monthly Allowance]]="",Dashboard_Query[[#This Row],[Current Usage]]=""),
    "",
    MAX(0,Dashboard_Query[[#This Row],[Monthly Allowance]]-Dashboard_Query[[#This Row],[Current Usage]])
)</f>
        <v>456.45</v>
      </c>
      <c r="S83" s="9">
        <f>IF(OR(Dashboard_Query[[#This Row],[Monthly Allowance]]="",Dashboard_Query[[#This Row],[Current Usage]]=""),"",Dashboard_Query[[#This Row],[Current Usage]]/Dashboard_Query[[#This Row],[Monthly Allowance]])</f>
        <v>8.7099999999999997E-2</v>
      </c>
      <c r="T83" s="9">
        <f>IF(Dashboard_Query[[#This Row],[% Used]]="","",1-Dashboard_Query[[#This Row],[% Used]])</f>
        <v>0.91290000000000004</v>
      </c>
      <c r="U83" s="4">
        <f>IF(OR(Dashboard_Query[[#This Row],[Monthly Allowance]]="",Dashboard_Query[[#This Row],[Current Usage]]=""),"",MAX(0,Dashboard_Query[[#This Row],[Current Usage]]-Dashboard_Query[[#This Row],[Monthly Allowance]]))</f>
        <v>0</v>
      </c>
      <c r="V83" s="4" t="str">
        <f>IF(Dashboard_Query[[#This Row],[Monthly Allowance]]="","",IF(Dashboard_Query[[#This Row],[Overage]]&gt;0,"OVER",IF(Dashboard_Query[[#This Row],[% Used]]&gt;=0.8,"WARNING","OK")))</f>
        <v>OK</v>
      </c>
      <c r="W83" s="1"/>
      <c r="X83" s="1"/>
    </row>
    <row r="84" spans="1:24">
      <c r="A84" s="4" t="s">
        <v>293</v>
      </c>
      <c r="B84" s="4">
        <v>809874</v>
      </c>
      <c r="C84" s="4" t="s">
        <v>388</v>
      </c>
      <c r="D84" s="4" t="s">
        <v>306</v>
      </c>
      <c r="E84" s="4" t="s">
        <v>389</v>
      </c>
      <c r="F84" s="4">
        <v>211121969</v>
      </c>
      <c r="G84" s="6">
        <v>46246</v>
      </c>
      <c r="H84" s="6">
        <v>46246</v>
      </c>
      <c r="I84" s="32">
        <v>46277</v>
      </c>
      <c r="J84" s="1">
        <v>19</v>
      </c>
      <c r="K84" s="4">
        <v>500</v>
      </c>
      <c r="L84" s="4" t="s">
        <v>122</v>
      </c>
      <c r="M84" s="4" t="s">
        <v>123</v>
      </c>
      <c r="N84" s="6">
        <v>46246</v>
      </c>
      <c r="O84" s="1"/>
      <c r="P84" s="4">
        <v>43.24</v>
      </c>
      <c r="Q84" s="4">
        <v>43.24</v>
      </c>
      <c r="R84" s="4">
        <f>IF(
    OR(Dashboard_Query[[#This Row],[Monthly Allowance]]="",Dashboard_Query[[#This Row],[Current Usage]]=""),
    "",
    MAX(0,Dashboard_Query[[#This Row],[Monthly Allowance]]-Dashboard_Query[[#This Row],[Current Usage]])
)</f>
        <v>456.76</v>
      </c>
      <c r="S84" s="9">
        <f>IF(OR(Dashboard_Query[[#This Row],[Monthly Allowance]]="",Dashboard_Query[[#This Row],[Current Usage]]=""),"",Dashboard_Query[[#This Row],[Current Usage]]/Dashboard_Query[[#This Row],[Monthly Allowance]])</f>
        <v>8.6480000000000001E-2</v>
      </c>
      <c r="T84" s="9">
        <f>IF(Dashboard_Query[[#This Row],[% Used]]="","",1-Dashboard_Query[[#This Row],[% Used]])</f>
        <v>0.91352</v>
      </c>
      <c r="U84" s="4">
        <f>IF(OR(Dashboard_Query[[#This Row],[Monthly Allowance]]="",Dashboard_Query[[#This Row],[Current Usage]]=""),"",MAX(0,Dashboard_Query[[#This Row],[Current Usage]]-Dashboard_Query[[#This Row],[Monthly Allowance]]))</f>
        <v>0</v>
      </c>
      <c r="V84" s="4" t="str">
        <f>IF(Dashboard_Query[[#This Row],[Monthly Allowance]]="","",IF(Dashboard_Query[[#This Row],[Overage]]&gt;0,"OVER",IF(Dashboard_Query[[#This Row],[% Used]]&gt;=0.8,"WARNING","OK")))</f>
        <v>OK</v>
      </c>
      <c r="W84" s="1"/>
      <c r="X84" s="1"/>
    </row>
    <row r="85" spans="1:24">
      <c r="A85" s="4" t="s">
        <v>346</v>
      </c>
      <c r="B85" s="4">
        <v>812843</v>
      </c>
      <c r="C85" s="4" t="s">
        <v>152</v>
      </c>
      <c r="D85" s="4" t="s">
        <v>153</v>
      </c>
      <c r="E85" s="4" t="s">
        <v>154</v>
      </c>
      <c r="F85" s="4">
        <v>211120865</v>
      </c>
      <c r="G85" s="6">
        <v>46211</v>
      </c>
      <c r="H85" s="6">
        <v>46242</v>
      </c>
      <c r="I85" s="32">
        <v>46273</v>
      </c>
      <c r="J85" s="1">
        <v>15</v>
      </c>
      <c r="K85" s="4">
        <v>500</v>
      </c>
      <c r="L85" s="4" t="s">
        <v>122</v>
      </c>
      <c r="M85" s="4" t="s">
        <v>123</v>
      </c>
      <c r="N85" s="6">
        <v>46242</v>
      </c>
      <c r="O85" s="1"/>
      <c r="P85" s="4">
        <v>42.82</v>
      </c>
      <c r="Q85" s="4">
        <v>42.82</v>
      </c>
      <c r="R85" s="4">
        <f>IF(
    OR(Dashboard_Query[[#This Row],[Monthly Allowance]]="",Dashboard_Query[[#This Row],[Current Usage]]=""),
    "",
    MAX(0,Dashboard_Query[[#This Row],[Monthly Allowance]]-Dashboard_Query[[#This Row],[Current Usage]])
)</f>
        <v>457.18</v>
      </c>
      <c r="S85" s="9">
        <f>IF(OR(Dashboard_Query[[#This Row],[Monthly Allowance]]="",Dashboard_Query[[#This Row],[Current Usage]]=""),"",Dashboard_Query[[#This Row],[Current Usage]]/Dashboard_Query[[#This Row],[Monthly Allowance]])</f>
        <v>8.5639999999999994E-2</v>
      </c>
      <c r="T85" s="9">
        <f>IF(Dashboard_Query[[#This Row],[% Used]]="","",1-Dashboard_Query[[#This Row],[% Used]])</f>
        <v>0.91436000000000006</v>
      </c>
      <c r="U85" s="4">
        <f>IF(OR(Dashboard_Query[[#This Row],[Monthly Allowance]]="",Dashboard_Query[[#This Row],[Current Usage]]=""),"",MAX(0,Dashboard_Query[[#This Row],[Current Usage]]-Dashboard_Query[[#This Row],[Monthly Allowance]]))</f>
        <v>0</v>
      </c>
      <c r="V85" s="4" t="str">
        <f>IF(Dashboard_Query[[#This Row],[Monthly Allowance]]="","",IF(Dashboard_Query[[#This Row],[Overage]]&gt;0,"OVER",IF(Dashboard_Query[[#This Row],[% Used]]&gt;=0.8,"WARNING","OK")))</f>
        <v>OK</v>
      </c>
      <c r="W85" s="1"/>
      <c r="X85" s="1"/>
    </row>
    <row r="86" spans="1:24">
      <c r="A86" s="4" t="s">
        <v>314</v>
      </c>
      <c r="B86" s="4">
        <v>810095</v>
      </c>
      <c r="C86" s="4" t="s">
        <v>388</v>
      </c>
      <c r="D86" s="4" t="s">
        <v>306</v>
      </c>
      <c r="E86" s="4" t="s">
        <v>389</v>
      </c>
      <c r="F86" s="4">
        <v>211121969</v>
      </c>
      <c r="G86" s="6">
        <v>46246</v>
      </c>
      <c r="H86" s="6">
        <v>46246</v>
      </c>
      <c r="I86" s="32">
        <v>46277</v>
      </c>
      <c r="J86" s="1">
        <v>19</v>
      </c>
      <c r="K86" s="4">
        <v>500</v>
      </c>
      <c r="L86" s="4" t="s">
        <v>122</v>
      </c>
      <c r="M86" s="4" t="s">
        <v>123</v>
      </c>
      <c r="N86" s="6">
        <v>46246</v>
      </c>
      <c r="O86" s="1"/>
      <c r="P86" s="4">
        <v>42.59</v>
      </c>
      <c r="Q86" s="4">
        <v>42.52</v>
      </c>
      <c r="R86" s="4">
        <f>IF(
    OR(Dashboard_Query[[#This Row],[Monthly Allowance]]="",Dashboard_Query[[#This Row],[Current Usage]]=""),
    "",
    MAX(0,Dashboard_Query[[#This Row],[Monthly Allowance]]-Dashboard_Query[[#This Row],[Current Usage]])
)</f>
        <v>457.48</v>
      </c>
      <c r="S86" s="9">
        <f>IF(OR(Dashboard_Query[[#This Row],[Monthly Allowance]]="",Dashboard_Query[[#This Row],[Current Usage]]=""),"",Dashboard_Query[[#This Row],[Current Usage]]/Dashboard_Query[[#This Row],[Monthly Allowance]])</f>
        <v>8.5040000000000004E-2</v>
      </c>
      <c r="T86" s="9">
        <f>IF(Dashboard_Query[[#This Row],[% Used]]="","",1-Dashboard_Query[[#This Row],[% Used]])</f>
        <v>0.91496</v>
      </c>
      <c r="U86" s="4">
        <f>IF(OR(Dashboard_Query[[#This Row],[Monthly Allowance]]="",Dashboard_Query[[#This Row],[Current Usage]]=""),"",MAX(0,Dashboard_Query[[#This Row],[Current Usage]]-Dashboard_Query[[#This Row],[Monthly Allowance]]))</f>
        <v>0</v>
      </c>
      <c r="V86" s="4" t="str">
        <f>IF(Dashboard_Query[[#This Row],[Monthly Allowance]]="","",IF(Dashboard_Query[[#This Row],[Overage]]&gt;0,"OVER",IF(Dashboard_Query[[#This Row],[% Used]]&gt;=0.8,"WARNING","OK")))</f>
        <v>OK</v>
      </c>
      <c r="W86" s="1"/>
      <c r="X86" s="1"/>
    </row>
    <row r="87" spans="1:24">
      <c r="A87" s="4" t="s">
        <v>162</v>
      </c>
      <c r="B87" s="4">
        <v>814474</v>
      </c>
      <c r="C87" s="4" t="s">
        <v>472</v>
      </c>
      <c r="D87" s="4" t="s">
        <v>393</v>
      </c>
      <c r="E87" s="4" t="s">
        <v>128</v>
      </c>
      <c r="F87" s="4">
        <v>211122084</v>
      </c>
      <c r="G87" s="6">
        <v>46248</v>
      </c>
      <c r="H87" s="6">
        <v>46248</v>
      </c>
      <c r="I87" s="32">
        <v>46279</v>
      </c>
      <c r="J87" s="1">
        <v>21</v>
      </c>
      <c r="K87" s="4">
        <v>500</v>
      </c>
      <c r="L87" s="4" t="s">
        <v>122</v>
      </c>
      <c r="M87" s="4" t="s">
        <v>123</v>
      </c>
      <c r="N87" s="6">
        <v>46248</v>
      </c>
      <c r="O87" s="1"/>
      <c r="P87" s="4">
        <v>52.27</v>
      </c>
      <c r="Q87" s="4">
        <v>42.410000000000004</v>
      </c>
      <c r="R87" s="4">
        <f>IF(
    OR(Dashboard_Query[[#This Row],[Monthly Allowance]]="",Dashboard_Query[[#This Row],[Current Usage]]=""),
    "",
    MAX(0,Dashboard_Query[[#This Row],[Monthly Allowance]]-Dashboard_Query[[#This Row],[Current Usage]])
)</f>
        <v>457.59</v>
      </c>
      <c r="S87" s="9">
        <f>IF(OR(Dashboard_Query[[#This Row],[Monthly Allowance]]="",Dashboard_Query[[#This Row],[Current Usage]]=""),"",Dashboard_Query[[#This Row],[Current Usage]]/Dashboard_Query[[#This Row],[Monthly Allowance]])</f>
        <v>8.4820000000000007E-2</v>
      </c>
      <c r="T87" s="9">
        <f>IF(Dashboard_Query[[#This Row],[% Used]]="","",1-Dashboard_Query[[#This Row],[% Used]])</f>
        <v>0.91517999999999999</v>
      </c>
      <c r="U87" s="4">
        <f>IF(OR(Dashboard_Query[[#This Row],[Monthly Allowance]]="",Dashboard_Query[[#This Row],[Current Usage]]=""),"",MAX(0,Dashboard_Query[[#This Row],[Current Usage]]-Dashboard_Query[[#This Row],[Monthly Allowance]]))</f>
        <v>0</v>
      </c>
      <c r="V87" s="4" t="str">
        <f>IF(Dashboard_Query[[#This Row],[Monthly Allowance]]="","",IF(Dashboard_Query[[#This Row],[Overage]]&gt;0,"OVER",IF(Dashboard_Query[[#This Row],[% Used]]&gt;=0.8,"WARNING","OK")))</f>
        <v>OK</v>
      </c>
      <c r="W87" s="1"/>
      <c r="X87" s="1"/>
    </row>
    <row r="88" spans="1:24">
      <c r="A88" s="4" t="s">
        <v>279</v>
      </c>
      <c r="B88" s="4">
        <v>812798</v>
      </c>
      <c r="C88" s="4" t="s">
        <v>173</v>
      </c>
      <c r="D88" s="4" t="s">
        <v>174</v>
      </c>
      <c r="E88" s="4" t="s">
        <v>175</v>
      </c>
      <c r="F88" s="4">
        <v>211120714</v>
      </c>
      <c r="G88" s="6">
        <v>46204</v>
      </c>
      <c r="H88" s="6">
        <v>46235</v>
      </c>
      <c r="I88" s="32">
        <v>46266</v>
      </c>
      <c r="J88" s="1">
        <v>8</v>
      </c>
      <c r="K88" s="4">
        <v>500</v>
      </c>
      <c r="L88" s="4" t="s">
        <v>122</v>
      </c>
      <c r="M88" s="4" t="s">
        <v>123</v>
      </c>
      <c r="N88" s="6">
        <v>46235</v>
      </c>
      <c r="O88" s="1"/>
      <c r="P88" s="4">
        <v>42.04</v>
      </c>
      <c r="Q88" s="4">
        <v>42</v>
      </c>
      <c r="R88" s="4">
        <f>IF(
    OR(Dashboard_Query[[#This Row],[Monthly Allowance]]="",Dashboard_Query[[#This Row],[Current Usage]]=""),
    "",
    MAX(0,Dashboard_Query[[#This Row],[Monthly Allowance]]-Dashboard_Query[[#This Row],[Current Usage]])
)</f>
        <v>458</v>
      </c>
      <c r="S88" s="9">
        <f>IF(OR(Dashboard_Query[[#This Row],[Monthly Allowance]]="",Dashboard_Query[[#This Row],[Current Usage]]=""),"",Dashboard_Query[[#This Row],[Current Usage]]/Dashboard_Query[[#This Row],[Monthly Allowance]])</f>
        <v>8.4000000000000005E-2</v>
      </c>
      <c r="T88" s="9">
        <f>IF(Dashboard_Query[[#This Row],[% Used]]="","",1-Dashboard_Query[[#This Row],[% Used]])</f>
        <v>0.91600000000000004</v>
      </c>
      <c r="U88" s="4">
        <f>IF(OR(Dashboard_Query[[#This Row],[Monthly Allowance]]="",Dashboard_Query[[#This Row],[Current Usage]]=""),"",MAX(0,Dashboard_Query[[#This Row],[Current Usage]]-Dashboard_Query[[#This Row],[Monthly Allowance]]))</f>
        <v>0</v>
      </c>
      <c r="V88" s="4" t="str">
        <f>IF(Dashboard_Query[[#This Row],[Monthly Allowance]]="","",IF(Dashboard_Query[[#This Row],[Overage]]&gt;0,"OVER",IF(Dashboard_Query[[#This Row],[% Used]]&gt;=0.8,"WARNING","OK")))</f>
        <v>OK</v>
      </c>
      <c r="W88" s="1"/>
      <c r="X88" s="1"/>
    </row>
    <row r="89" spans="1:24">
      <c r="A89" s="4" t="s">
        <v>249</v>
      </c>
      <c r="B89" s="4">
        <v>814484</v>
      </c>
      <c r="C89" s="4" t="s">
        <v>186</v>
      </c>
      <c r="D89" s="4" t="s">
        <v>187</v>
      </c>
      <c r="E89" s="4" t="s">
        <v>188</v>
      </c>
      <c r="F89" s="4">
        <v>211121633</v>
      </c>
      <c r="G89" s="6">
        <v>46237</v>
      </c>
      <c r="H89" s="6">
        <v>46237</v>
      </c>
      <c r="I89" s="32">
        <v>46268</v>
      </c>
      <c r="J89" s="1">
        <v>10</v>
      </c>
      <c r="K89" s="4">
        <v>500</v>
      </c>
      <c r="L89" s="4" t="s">
        <v>122</v>
      </c>
      <c r="M89" s="4" t="s">
        <v>123</v>
      </c>
      <c r="N89" s="6">
        <v>46237</v>
      </c>
      <c r="O89" s="1"/>
      <c r="P89" s="4">
        <v>39.869999999999997</v>
      </c>
      <c r="Q89" s="4">
        <v>39.869999999999997</v>
      </c>
      <c r="R89" s="4">
        <f>IF(
    OR(Dashboard_Query[[#This Row],[Monthly Allowance]]="",Dashboard_Query[[#This Row],[Current Usage]]=""),
    "",
    MAX(0,Dashboard_Query[[#This Row],[Monthly Allowance]]-Dashboard_Query[[#This Row],[Current Usage]])
)</f>
        <v>460.13</v>
      </c>
      <c r="S89" s="9">
        <f>IF(OR(Dashboard_Query[[#This Row],[Monthly Allowance]]="",Dashboard_Query[[#This Row],[Current Usage]]=""),"",Dashboard_Query[[#This Row],[Current Usage]]/Dashboard_Query[[#This Row],[Monthly Allowance]])</f>
        <v>7.9739999999999991E-2</v>
      </c>
      <c r="T89" s="9">
        <f>IF(Dashboard_Query[[#This Row],[% Used]]="","",1-Dashboard_Query[[#This Row],[% Used]])</f>
        <v>0.92025999999999997</v>
      </c>
      <c r="U89" s="4">
        <f>IF(OR(Dashboard_Query[[#This Row],[Monthly Allowance]]="",Dashboard_Query[[#This Row],[Current Usage]]=""),"",MAX(0,Dashboard_Query[[#This Row],[Current Usage]]-Dashboard_Query[[#This Row],[Monthly Allowance]]))</f>
        <v>0</v>
      </c>
      <c r="V89" s="4" t="str">
        <f>IF(Dashboard_Query[[#This Row],[Monthly Allowance]]="","",IF(Dashboard_Query[[#This Row],[Overage]]&gt;0,"OVER",IF(Dashboard_Query[[#This Row],[% Used]]&gt;=0.8,"WARNING","OK")))</f>
        <v>OK</v>
      </c>
      <c r="W89" s="1"/>
      <c r="X89" s="1"/>
    </row>
    <row r="90" spans="1:24">
      <c r="A90" s="4" t="s">
        <v>227</v>
      </c>
      <c r="B90" s="4">
        <v>809661</v>
      </c>
      <c r="C90" s="4" t="s">
        <v>472</v>
      </c>
      <c r="D90" s="4" t="s">
        <v>393</v>
      </c>
      <c r="E90" s="4" t="s">
        <v>128</v>
      </c>
      <c r="F90" s="4">
        <v>211122084</v>
      </c>
      <c r="G90" s="6">
        <v>46248</v>
      </c>
      <c r="H90" s="6">
        <v>46248</v>
      </c>
      <c r="I90" s="32">
        <v>46279</v>
      </c>
      <c r="J90" s="1">
        <v>21</v>
      </c>
      <c r="K90" s="4">
        <v>500</v>
      </c>
      <c r="L90" s="4" t="s">
        <v>122</v>
      </c>
      <c r="M90" s="4" t="s">
        <v>123</v>
      </c>
      <c r="N90" s="6">
        <v>46248</v>
      </c>
      <c r="O90" s="1"/>
      <c r="P90" s="4">
        <v>53.08</v>
      </c>
      <c r="Q90" s="4">
        <v>38.64</v>
      </c>
      <c r="R90" s="4">
        <f>IF(
    OR(Dashboard_Query[[#This Row],[Monthly Allowance]]="",Dashboard_Query[[#This Row],[Current Usage]]=""),
    "",
    MAX(0,Dashboard_Query[[#This Row],[Monthly Allowance]]-Dashboard_Query[[#This Row],[Current Usage]])
)</f>
        <v>461.36</v>
      </c>
      <c r="S90" s="9">
        <f>IF(OR(Dashboard_Query[[#This Row],[Monthly Allowance]]="",Dashboard_Query[[#This Row],[Current Usage]]=""),"",Dashboard_Query[[#This Row],[Current Usage]]/Dashboard_Query[[#This Row],[Monthly Allowance]])</f>
        <v>7.7280000000000001E-2</v>
      </c>
      <c r="T90" s="9">
        <f>IF(Dashboard_Query[[#This Row],[% Used]]="","",1-Dashboard_Query[[#This Row],[% Used]])</f>
        <v>0.92271999999999998</v>
      </c>
      <c r="U90" s="4">
        <f>IF(OR(Dashboard_Query[[#This Row],[Monthly Allowance]]="",Dashboard_Query[[#This Row],[Current Usage]]=""),"",MAX(0,Dashboard_Query[[#This Row],[Current Usage]]-Dashboard_Query[[#This Row],[Monthly Allowance]]))</f>
        <v>0</v>
      </c>
      <c r="V90" s="4" t="str">
        <f>IF(Dashboard_Query[[#This Row],[Monthly Allowance]]="","",IF(Dashboard_Query[[#This Row],[Overage]]&gt;0,"OVER",IF(Dashboard_Query[[#This Row],[% Used]]&gt;=0.8,"WARNING","OK")))</f>
        <v>OK</v>
      </c>
      <c r="W90" s="1"/>
      <c r="X90" s="1"/>
    </row>
    <row r="91" spans="1:24">
      <c r="A91" s="4" t="s">
        <v>216</v>
      </c>
      <c r="B91" s="4">
        <v>810098</v>
      </c>
      <c r="C91" s="4" t="s">
        <v>388</v>
      </c>
      <c r="D91" s="4" t="s">
        <v>306</v>
      </c>
      <c r="E91" s="4" t="s">
        <v>389</v>
      </c>
      <c r="F91" s="4">
        <v>211121969</v>
      </c>
      <c r="G91" s="6">
        <v>46246</v>
      </c>
      <c r="H91" s="6">
        <v>46246</v>
      </c>
      <c r="I91" s="32">
        <v>46277</v>
      </c>
      <c r="J91" s="1">
        <v>19</v>
      </c>
      <c r="K91" s="4">
        <v>500</v>
      </c>
      <c r="L91" s="4" t="s">
        <v>122</v>
      </c>
      <c r="M91" s="4" t="s">
        <v>123</v>
      </c>
      <c r="N91" s="6">
        <v>46246</v>
      </c>
      <c r="O91" s="1"/>
      <c r="P91" s="4">
        <v>55.43</v>
      </c>
      <c r="Q91" s="4">
        <v>38.6</v>
      </c>
      <c r="R91" s="4">
        <f>IF(
    OR(Dashboard_Query[[#This Row],[Monthly Allowance]]="",Dashboard_Query[[#This Row],[Current Usage]]=""),
    "",
    MAX(0,Dashboard_Query[[#This Row],[Monthly Allowance]]-Dashboard_Query[[#This Row],[Current Usage]])
)</f>
        <v>461.4</v>
      </c>
      <c r="S91" s="9">
        <f>IF(OR(Dashboard_Query[[#This Row],[Monthly Allowance]]="",Dashboard_Query[[#This Row],[Current Usage]]=""),"",Dashboard_Query[[#This Row],[Current Usage]]/Dashboard_Query[[#This Row],[Monthly Allowance]])</f>
        <v>7.7200000000000005E-2</v>
      </c>
      <c r="T91" s="9">
        <f>IF(Dashboard_Query[[#This Row],[% Used]]="","",1-Dashboard_Query[[#This Row],[% Used]])</f>
        <v>0.92279999999999995</v>
      </c>
      <c r="U91" s="4">
        <f>IF(OR(Dashboard_Query[[#This Row],[Monthly Allowance]]="",Dashboard_Query[[#This Row],[Current Usage]]=""),"",MAX(0,Dashboard_Query[[#This Row],[Current Usage]]-Dashboard_Query[[#This Row],[Monthly Allowance]]))</f>
        <v>0</v>
      </c>
      <c r="V91" s="4" t="str">
        <f>IF(Dashboard_Query[[#This Row],[Monthly Allowance]]="","",IF(Dashboard_Query[[#This Row],[Overage]]&gt;0,"OVER",IF(Dashboard_Query[[#This Row],[% Used]]&gt;=0.8,"WARNING","OK")))</f>
        <v>OK</v>
      </c>
      <c r="W91" s="1"/>
      <c r="X91" s="1"/>
    </row>
    <row r="92" spans="1:24">
      <c r="A92" s="4" t="s">
        <v>236</v>
      </c>
      <c r="B92" s="4">
        <v>812803</v>
      </c>
      <c r="C92" s="4" t="s">
        <v>237</v>
      </c>
      <c r="D92" s="4" t="s">
        <v>238</v>
      </c>
      <c r="E92" s="4" t="s">
        <v>239</v>
      </c>
      <c r="F92" s="4">
        <v>211120721</v>
      </c>
      <c r="G92" s="6">
        <v>46204</v>
      </c>
      <c r="H92" s="6">
        <v>46235</v>
      </c>
      <c r="I92" s="32">
        <v>46266</v>
      </c>
      <c r="J92" s="1">
        <v>8</v>
      </c>
      <c r="K92" s="4">
        <v>500</v>
      </c>
      <c r="L92" s="4" t="s">
        <v>122</v>
      </c>
      <c r="M92" s="4" t="s">
        <v>123</v>
      </c>
      <c r="N92" s="6">
        <v>46235</v>
      </c>
      <c r="O92" s="1"/>
      <c r="P92" s="4">
        <v>37.799999999999997</v>
      </c>
      <c r="Q92" s="4">
        <v>37.79</v>
      </c>
      <c r="R92" s="4">
        <f>IF(
    OR(Dashboard_Query[[#This Row],[Monthly Allowance]]="",Dashboard_Query[[#This Row],[Current Usage]]=""),
    "",
    MAX(0,Dashboard_Query[[#This Row],[Monthly Allowance]]-Dashboard_Query[[#This Row],[Current Usage]])
)</f>
        <v>462.21</v>
      </c>
      <c r="S92" s="9">
        <f>IF(OR(Dashboard_Query[[#This Row],[Monthly Allowance]]="",Dashboard_Query[[#This Row],[Current Usage]]=""),"",Dashboard_Query[[#This Row],[Current Usage]]/Dashboard_Query[[#This Row],[Monthly Allowance]])</f>
        <v>7.5579999999999994E-2</v>
      </c>
      <c r="T92" s="9">
        <f>IF(Dashboard_Query[[#This Row],[% Used]]="","",1-Dashboard_Query[[#This Row],[% Used]])</f>
        <v>0.92442000000000002</v>
      </c>
      <c r="U92" s="4">
        <f>IF(OR(Dashboard_Query[[#This Row],[Monthly Allowance]]="",Dashboard_Query[[#This Row],[Current Usage]]=""),"",MAX(0,Dashboard_Query[[#This Row],[Current Usage]]-Dashboard_Query[[#This Row],[Monthly Allowance]]))</f>
        <v>0</v>
      </c>
      <c r="V92" s="4" t="str">
        <f>IF(Dashboard_Query[[#This Row],[Monthly Allowance]]="","",IF(Dashboard_Query[[#This Row],[Overage]]&gt;0,"OVER",IF(Dashboard_Query[[#This Row],[% Used]]&gt;=0.8,"WARNING","OK")))</f>
        <v>OK</v>
      </c>
      <c r="W92" s="1"/>
      <c r="X92" s="1"/>
    </row>
    <row r="93" spans="1:24">
      <c r="A93" s="4" t="s">
        <v>228</v>
      </c>
      <c r="B93" s="4">
        <v>809618</v>
      </c>
      <c r="C93" s="4" t="s">
        <v>229</v>
      </c>
      <c r="D93" s="4" t="s">
        <v>230</v>
      </c>
      <c r="E93" s="4" t="s">
        <v>231</v>
      </c>
      <c r="F93" s="4">
        <v>211121626</v>
      </c>
      <c r="G93" s="6">
        <v>46235</v>
      </c>
      <c r="H93" s="6">
        <v>46235</v>
      </c>
      <c r="I93" s="32">
        <v>46266</v>
      </c>
      <c r="J93" s="1">
        <v>8</v>
      </c>
      <c r="K93" s="4">
        <v>500</v>
      </c>
      <c r="L93" s="4" t="s">
        <v>122</v>
      </c>
      <c r="M93" s="4" t="s">
        <v>123</v>
      </c>
      <c r="N93" s="6">
        <v>46235</v>
      </c>
      <c r="O93" s="1"/>
      <c r="P93" s="4">
        <v>37.200000000000003</v>
      </c>
      <c r="Q93" s="4">
        <v>37.200000000000003</v>
      </c>
      <c r="R93" s="4">
        <f>IF(
    OR(Dashboard_Query[[#This Row],[Monthly Allowance]]="",Dashboard_Query[[#This Row],[Current Usage]]=""),
    "",
    MAX(0,Dashboard_Query[[#This Row],[Monthly Allowance]]-Dashboard_Query[[#This Row],[Current Usage]])
)</f>
        <v>462.8</v>
      </c>
      <c r="S93" s="9">
        <f>IF(OR(Dashboard_Query[[#This Row],[Monthly Allowance]]="",Dashboard_Query[[#This Row],[Current Usage]]=""),"",Dashboard_Query[[#This Row],[Current Usage]]/Dashboard_Query[[#This Row],[Monthly Allowance]])</f>
        <v>7.4400000000000008E-2</v>
      </c>
      <c r="T93" s="9">
        <f>IF(Dashboard_Query[[#This Row],[% Used]]="","",1-Dashboard_Query[[#This Row],[% Used]])</f>
        <v>0.92559999999999998</v>
      </c>
      <c r="U93" s="4">
        <f>IF(OR(Dashboard_Query[[#This Row],[Monthly Allowance]]="",Dashboard_Query[[#This Row],[Current Usage]]=""),"",MAX(0,Dashboard_Query[[#This Row],[Current Usage]]-Dashboard_Query[[#This Row],[Monthly Allowance]]))</f>
        <v>0</v>
      </c>
      <c r="V93" s="4" t="str">
        <f>IF(Dashboard_Query[[#This Row],[Monthly Allowance]]="","",IF(Dashboard_Query[[#This Row],[Overage]]&gt;0,"OVER",IF(Dashboard_Query[[#This Row],[% Used]]&gt;=0.8,"WARNING","OK")))</f>
        <v>OK</v>
      </c>
      <c r="W93" s="1"/>
      <c r="X93" s="1"/>
    </row>
    <row r="94" spans="1:24">
      <c r="A94" s="4" t="s">
        <v>59</v>
      </c>
      <c r="B94" s="4">
        <v>816223</v>
      </c>
      <c r="C94" s="4" t="s">
        <v>388</v>
      </c>
      <c r="D94" s="4" t="s">
        <v>306</v>
      </c>
      <c r="E94" s="4" t="s">
        <v>389</v>
      </c>
      <c r="F94" s="4">
        <v>211121969</v>
      </c>
      <c r="G94" s="6">
        <v>46246</v>
      </c>
      <c r="H94" s="6">
        <v>46246</v>
      </c>
      <c r="I94" s="32">
        <v>46277</v>
      </c>
      <c r="J94" s="1">
        <v>19</v>
      </c>
      <c r="K94" s="4">
        <v>1000</v>
      </c>
      <c r="L94" s="4" t="s">
        <v>122</v>
      </c>
      <c r="M94" s="4" t="s">
        <v>123</v>
      </c>
      <c r="N94" s="6">
        <v>46246</v>
      </c>
      <c r="O94" s="1"/>
      <c r="P94" s="4">
        <v>73.22</v>
      </c>
      <c r="Q94" s="4">
        <v>73.150000000000006</v>
      </c>
      <c r="R94" s="4">
        <f>IF(
    OR(Dashboard_Query[[#This Row],[Monthly Allowance]]="",Dashboard_Query[[#This Row],[Current Usage]]=""),
    "",
    MAX(0,Dashboard_Query[[#This Row],[Monthly Allowance]]-Dashboard_Query[[#This Row],[Current Usage]])
)</f>
        <v>926.85</v>
      </c>
      <c r="S94" s="9">
        <f>IF(OR(Dashboard_Query[[#This Row],[Monthly Allowance]]="",Dashboard_Query[[#This Row],[Current Usage]]=""),"",Dashboard_Query[[#This Row],[Current Usage]]/Dashboard_Query[[#This Row],[Monthly Allowance]])</f>
        <v>7.3150000000000007E-2</v>
      </c>
      <c r="T94" s="9">
        <f>IF(Dashboard_Query[[#This Row],[% Used]]="","",1-Dashboard_Query[[#This Row],[% Used]])</f>
        <v>0.92684999999999995</v>
      </c>
      <c r="U94" s="4">
        <f>IF(OR(Dashboard_Query[[#This Row],[Monthly Allowance]]="",Dashboard_Query[[#This Row],[Current Usage]]=""),"",MAX(0,Dashboard_Query[[#This Row],[Current Usage]]-Dashboard_Query[[#This Row],[Monthly Allowance]]))</f>
        <v>0</v>
      </c>
      <c r="V94" s="4" t="str">
        <f>IF(Dashboard_Query[[#This Row],[Monthly Allowance]]="","",IF(Dashboard_Query[[#This Row],[Overage]]&gt;0,"OVER",IF(Dashboard_Query[[#This Row],[% Used]]&gt;=0.8,"WARNING","OK")))</f>
        <v>OK</v>
      </c>
      <c r="W94" s="1"/>
      <c r="X94" s="1"/>
    </row>
    <row r="95" spans="1:24">
      <c r="A95" s="4" t="s">
        <v>261</v>
      </c>
      <c r="B95" s="4">
        <v>814478</v>
      </c>
      <c r="C95" s="4" t="s">
        <v>388</v>
      </c>
      <c r="D95" s="4" t="s">
        <v>306</v>
      </c>
      <c r="E95" s="4" t="s">
        <v>389</v>
      </c>
      <c r="F95" s="4">
        <v>211121969</v>
      </c>
      <c r="G95" s="6">
        <v>46246</v>
      </c>
      <c r="H95" s="6">
        <v>46246</v>
      </c>
      <c r="I95" s="32">
        <v>46277</v>
      </c>
      <c r="J95" s="1">
        <v>19</v>
      </c>
      <c r="K95" s="4">
        <v>500</v>
      </c>
      <c r="L95" s="4" t="s">
        <v>122</v>
      </c>
      <c r="M95" s="4" t="s">
        <v>123</v>
      </c>
      <c r="N95" s="6">
        <v>46246</v>
      </c>
      <c r="O95" s="1"/>
      <c r="P95" s="4">
        <v>38.409999999999997</v>
      </c>
      <c r="Q95" s="4">
        <v>33.36</v>
      </c>
      <c r="R95" s="4">
        <f>IF(
    OR(Dashboard_Query[[#This Row],[Monthly Allowance]]="",Dashboard_Query[[#This Row],[Current Usage]]=""),
    "",
    MAX(0,Dashboard_Query[[#This Row],[Monthly Allowance]]-Dashboard_Query[[#This Row],[Current Usage]])
)</f>
        <v>466.64</v>
      </c>
      <c r="S95" s="9">
        <f>IF(OR(Dashboard_Query[[#This Row],[Monthly Allowance]]="",Dashboard_Query[[#This Row],[Current Usage]]=""),"",Dashboard_Query[[#This Row],[Current Usage]]/Dashboard_Query[[#This Row],[Monthly Allowance]])</f>
        <v>6.6720000000000002E-2</v>
      </c>
      <c r="T95" s="9">
        <f>IF(Dashboard_Query[[#This Row],[% Used]]="","",1-Dashboard_Query[[#This Row],[% Used]])</f>
        <v>0.93328</v>
      </c>
      <c r="U95" s="4">
        <f>IF(OR(Dashboard_Query[[#This Row],[Monthly Allowance]]="",Dashboard_Query[[#This Row],[Current Usage]]=""),"",MAX(0,Dashboard_Query[[#This Row],[Current Usage]]-Dashboard_Query[[#This Row],[Monthly Allowance]]))</f>
        <v>0</v>
      </c>
      <c r="V95" s="4" t="str">
        <f>IF(Dashboard_Query[[#This Row],[Monthly Allowance]]="","",IF(Dashboard_Query[[#This Row],[Overage]]&gt;0,"OVER",IF(Dashboard_Query[[#This Row],[% Used]]&gt;=0.8,"WARNING","OK")))</f>
        <v>OK</v>
      </c>
      <c r="W95" s="1"/>
      <c r="X95" s="1"/>
    </row>
    <row r="96" spans="1:24" hidden="1">
      <c r="A96" s="4" t="s">
        <v>380</v>
      </c>
      <c r="B96" s="4">
        <v>814481</v>
      </c>
      <c r="C96" s="4"/>
      <c r="D96" s="4"/>
      <c r="E96" s="4"/>
      <c r="F96" s="4"/>
      <c r="G96" s="6"/>
      <c r="H96" s="6"/>
      <c r="I96" s="32"/>
      <c r="J96" s="1"/>
      <c r="K96" s="4">
        <v>500</v>
      </c>
      <c r="L96" s="4" t="s">
        <v>122</v>
      </c>
      <c r="M96" s="4" t="s">
        <v>35</v>
      </c>
      <c r="N96" s="6"/>
      <c r="O96" s="1"/>
      <c r="P96" s="4">
        <v>21.3</v>
      </c>
      <c r="Q96" s="4">
        <v>33.120000000000005</v>
      </c>
      <c r="R96" s="4">
        <f>IF(
    OR(Dashboard_Query[[#This Row],[Monthly Allowance]]="",Dashboard_Query[[#This Row],[Current Usage]]=""),
    "",
    MAX(0,Dashboard_Query[[#This Row],[Monthly Allowance]]-Dashboard_Query[[#This Row],[Current Usage]])
)</f>
        <v>466.88</v>
      </c>
      <c r="S96" s="9">
        <f>IF(OR(Dashboard_Query[[#This Row],[Monthly Allowance]]="",Dashboard_Query[[#This Row],[Current Usage]]=""),"",Dashboard_Query[[#This Row],[Current Usage]]/Dashboard_Query[[#This Row],[Monthly Allowance]])</f>
        <v>6.6240000000000007E-2</v>
      </c>
      <c r="T96" s="9">
        <f>IF(Dashboard_Query[[#This Row],[% Used]]="","",1-Dashboard_Query[[#This Row],[% Used]])</f>
        <v>0.93376000000000003</v>
      </c>
      <c r="U96" s="4">
        <f>IF(OR(Dashboard_Query[[#This Row],[Monthly Allowance]]="",Dashboard_Query[[#This Row],[Current Usage]]=""),"",MAX(0,Dashboard_Query[[#This Row],[Current Usage]]-Dashboard_Query[[#This Row],[Monthly Allowance]]))</f>
        <v>0</v>
      </c>
      <c r="V96" s="4" t="str">
        <f>IF(Dashboard_Query[[#This Row],[Monthly Allowance]]="","",IF(Dashboard_Query[[#This Row],[Overage]]&gt;0,"OVER",IF(Dashboard_Query[[#This Row],[% Used]]&gt;=0.8,"WARNING","OK")))</f>
        <v>OK</v>
      </c>
      <c r="W96" s="1"/>
      <c r="X96" s="1"/>
    </row>
    <row r="97" spans="1:24">
      <c r="A97" s="4" t="s">
        <v>290</v>
      </c>
      <c r="B97" s="4">
        <v>809860</v>
      </c>
      <c r="C97" s="4" t="s">
        <v>472</v>
      </c>
      <c r="D97" s="4" t="s">
        <v>393</v>
      </c>
      <c r="E97" s="4" t="s">
        <v>128</v>
      </c>
      <c r="F97" s="4">
        <v>211122084</v>
      </c>
      <c r="G97" s="6">
        <v>46248</v>
      </c>
      <c r="H97" s="6">
        <v>46248</v>
      </c>
      <c r="I97" s="32">
        <v>46279</v>
      </c>
      <c r="J97" s="1">
        <v>21</v>
      </c>
      <c r="K97" s="4">
        <v>500</v>
      </c>
      <c r="L97" s="4" t="s">
        <v>122</v>
      </c>
      <c r="M97" s="4" t="s">
        <v>123</v>
      </c>
      <c r="N97" s="6">
        <v>46248</v>
      </c>
      <c r="O97" s="1"/>
      <c r="P97" s="4">
        <v>32.54</v>
      </c>
      <c r="Q97" s="4">
        <v>32.54</v>
      </c>
      <c r="R97" s="4">
        <f>IF(
    OR(Dashboard_Query[[#This Row],[Monthly Allowance]]="",Dashboard_Query[[#This Row],[Current Usage]]=""),
    "",
    MAX(0,Dashboard_Query[[#This Row],[Monthly Allowance]]-Dashboard_Query[[#This Row],[Current Usage]])
)</f>
        <v>467.46</v>
      </c>
      <c r="S97" s="9">
        <f>IF(OR(Dashboard_Query[[#This Row],[Monthly Allowance]]="",Dashboard_Query[[#This Row],[Current Usage]]=""),"",Dashboard_Query[[#This Row],[Current Usage]]/Dashboard_Query[[#This Row],[Monthly Allowance]])</f>
        <v>6.5079999999999999E-2</v>
      </c>
      <c r="T97" s="9">
        <f>IF(Dashboard_Query[[#This Row],[% Used]]="","",1-Dashboard_Query[[#This Row],[% Used]])</f>
        <v>0.93491999999999997</v>
      </c>
      <c r="U97" s="4">
        <f>IF(OR(Dashboard_Query[[#This Row],[Monthly Allowance]]="",Dashboard_Query[[#This Row],[Current Usage]]=""),"",MAX(0,Dashboard_Query[[#This Row],[Current Usage]]-Dashboard_Query[[#This Row],[Monthly Allowance]]))</f>
        <v>0</v>
      </c>
      <c r="V97" s="4" t="str">
        <f>IF(Dashboard_Query[[#This Row],[Monthly Allowance]]="","",IF(Dashboard_Query[[#This Row],[Overage]]&gt;0,"OVER",IF(Dashboard_Query[[#This Row],[% Used]]&gt;=0.8,"WARNING","OK")))</f>
        <v>OK</v>
      </c>
      <c r="W97" s="1"/>
      <c r="X97" s="1"/>
    </row>
    <row r="98" spans="1:24">
      <c r="A98" s="4" t="s">
        <v>312</v>
      </c>
      <c r="B98" s="4">
        <v>812839</v>
      </c>
      <c r="C98" s="4" t="s">
        <v>383</v>
      </c>
      <c r="D98" s="4" t="s">
        <v>180</v>
      </c>
      <c r="E98" s="4" t="s">
        <v>384</v>
      </c>
      <c r="F98" s="4">
        <v>211121827</v>
      </c>
      <c r="G98" s="6">
        <v>46241</v>
      </c>
      <c r="H98" s="6">
        <v>46241</v>
      </c>
      <c r="I98" s="32">
        <v>46272</v>
      </c>
      <c r="J98" s="1">
        <v>14</v>
      </c>
      <c r="K98" s="4">
        <v>500</v>
      </c>
      <c r="L98" s="4" t="s">
        <v>122</v>
      </c>
      <c r="M98" s="4" t="s">
        <v>123</v>
      </c>
      <c r="N98" s="6">
        <v>46241</v>
      </c>
      <c r="O98" s="1"/>
      <c r="P98" s="4">
        <v>32.18</v>
      </c>
      <c r="Q98" s="4">
        <v>32.15</v>
      </c>
      <c r="R98" s="4">
        <f>IF(
    OR(Dashboard_Query[[#This Row],[Monthly Allowance]]="",Dashboard_Query[[#This Row],[Current Usage]]=""),
    "",
    MAX(0,Dashboard_Query[[#This Row],[Monthly Allowance]]-Dashboard_Query[[#This Row],[Current Usage]])
)</f>
        <v>467.85</v>
      </c>
      <c r="S98" s="9">
        <f>IF(OR(Dashboard_Query[[#This Row],[Monthly Allowance]]="",Dashboard_Query[[#This Row],[Current Usage]]=""),"",Dashboard_Query[[#This Row],[Current Usage]]/Dashboard_Query[[#This Row],[Monthly Allowance]])</f>
        <v>6.4299999999999996E-2</v>
      </c>
      <c r="T98" s="9">
        <f>IF(Dashboard_Query[[#This Row],[% Used]]="","",1-Dashboard_Query[[#This Row],[% Used]])</f>
        <v>0.93569999999999998</v>
      </c>
      <c r="U98" s="4">
        <f>IF(OR(Dashboard_Query[[#This Row],[Monthly Allowance]]="",Dashboard_Query[[#This Row],[Current Usage]]=""),"",MAX(0,Dashboard_Query[[#This Row],[Current Usage]]-Dashboard_Query[[#This Row],[Monthly Allowance]]))</f>
        <v>0</v>
      </c>
      <c r="V98" s="4" t="str">
        <f>IF(Dashboard_Query[[#This Row],[Monthly Allowance]]="","",IF(Dashboard_Query[[#This Row],[Overage]]&gt;0,"OVER",IF(Dashboard_Query[[#This Row],[% Used]]&gt;=0.8,"WARNING","OK")))</f>
        <v>OK</v>
      </c>
      <c r="W98" s="1"/>
      <c r="X98" s="1"/>
    </row>
    <row r="99" spans="1:24">
      <c r="A99" s="4" t="s">
        <v>308</v>
      </c>
      <c r="B99" s="4">
        <v>814431</v>
      </c>
      <c r="C99" s="4" t="s">
        <v>472</v>
      </c>
      <c r="D99" s="4" t="s">
        <v>393</v>
      </c>
      <c r="E99" s="4" t="s">
        <v>128</v>
      </c>
      <c r="F99" s="4">
        <v>211122084</v>
      </c>
      <c r="G99" s="6">
        <v>46248</v>
      </c>
      <c r="H99" s="6">
        <v>46248</v>
      </c>
      <c r="I99" s="32">
        <v>46279</v>
      </c>
      <c r="J99" s="1">
        <v>21</v>
      </c>
      <c r="K99" s="4">
        <v>500</v>
      </c>
      <c r="L99" s="4" t="s">
        <v>122</v>
      </c>
      <c r="M99" s="4" t="s">
        <v>123</v>
      </c>
      <c r="N99" s="6">
        <v>46248</v>
      </c>
      <c r="O99" s="1"/>
      <c r="P99" s="4">
        <v>30.27</v>
      </c>
      <c r="Q99" s="4">
        <v>30.27</v>
      </c>
      <c r="R99" s="4">
        <f>IF(
    OR(Dashboard_Query[[#This Row],[Monthly Allowance]]="",Dashboard_Query[[#This Row],[Current Usage]]=""),
    "",
    MAX(0,Dashboard_Query[[#This Row],[Monthly Allowance]]-Dashboard_Query[[#This Row],[Current Usage]])
)</f>
        <v>469.73</v>
      </c>
      <c r="S99" s="9">
        <f>IF(OR(Dashboard_Query[[#This Row],[Monthly Allowance]]="",Dashboard_Query[[#This Row],[Current Usage]]=""),"",Dashboard_Query[[#This Row],[Current Usage]]/Dashboard_Query[[#This Row],[Monthly Allowance]])</f>
        <v>6.0539999999999997E-2</v>
      </c>
      <c r="T99" s="9">
        <f>IF(Dashboard_Query[[#This Row],[% Used]]="","",1-Dashboard_Query[[#This Row],[% Used]])</f>
        <v>0.93945999999999996</v>
      </c>
      <c r="U99" s="4">
        <f>IF(OR(Dashboard_Query[[#This Row],[Monthly Allowance]]="",Dashboard_Query[[#This Row],[Current Usage]]=""),"",MAX(0,Dashboard_Query[[#This Row],[Current Usage]]-Dashboard_Query[[#This Row],[Monthly Allowance]]))</f>
        <v>0</v>
      </c>
      <c r="V99" s="4" t="str">
        <f>IF(Dashboard_Query[[#This Row],[Monthly Allowance]]="","",IF(Dashboard_Query[[#This Row],[Overage]]&gt;0,"OVER",IF(Dashboard_Query[[#This Row],[% Used]]&gt;=0.8,"WARNING","OK")))</f>
        <v>OK</v>
      </c>
      <c r="W99" s="1"/>
      <c r="X99" s="1"/>
    </row>
    <row r="100" spans="1:24" ht="14.25" customHeight="1">
      <c r="A100" s="4" t="s">
        <v>234</v>
      </c>
      <c r="B100" s="4">
        <v>812818</v>
      </c>
      <c r="C100" s="4" t="s">
        <v>152</v>
      </c>
      <c r="D100" s="4" t="s">
        <v>153</v>
      </c>
      <c r="E100" s="4" t="s">
        <v>154</v>
      </c>
      <c r="F100" s="4">
        <v>211120865</v>
      </c>
      <c r="G100" s="6">
        <v>46211</v>
      </c>
      <c r="H100" s="6">
        <v>46242</v>
      </c>
      <c r="I100" s="32">
        <v>46273</v>
      </c>
      <c r="J100" s="1">
        <v>15</v>
      </c>
      <c r="K100" s="4">
        <v>500</v>
      </c>
      <c r="L100" s="4" t="s">
        <v>122</v>
      </c>
      <c r="M100" s="4" t="s">
        <v>123</v>
      </c>
      <c r="N100" s="6">
        <v>46242</v>
      </c>
      <c r="O100" s="1"/>
      <c r="P100" s="4">
        <v>58.62</v>
      </c>
      <c r="Q100" s="4">
        <v>30.259999999999998</v>
      </c>
      <c r="R100" s="4">
        <f>IF(
    OR(Dashboard_Query[[#This Row],[Monthly Allowance]]="",Dashboard_Query[[#This Row],[Current Usage]]=""),
    "",
    MAX(0,Dashboard_Query[[#This Row],[Monthly Allowance]]-Dashboard_Query[[#This Row],[Current Usage]])
)</f>
        <v>469.74</v>
      </c>
      <c r="S100" s="9">
        <f>IF(OR(Dashboard_Query[[#This Row],[Monthly Allowance]]="",Dashboard_Query[[#This Row],[Current Usage]]=""),"",Dashboard_Query[[#This Row],[Current Usage]]/Dashboard_Query[[#This Row],[Monthly Allowance]])</f>
        <v>6.0519999999999997E-2</v>
      </c>
      <c r="T100" s="9">
        <f>IF(Dashboard_Query[[#This Row],[% Used]]="","",1-Dashboard_Query[[#This Row],[% Used]])</f>
        <v>0.93947999999999998</v>
      </c>
      <c r="U100" s="4">
        <f>IF(OR(Dashboard_Query[[#This Row],[Monthly Allowance]]="",Dashboard_Query[[#This Row],[Current Usage]]=""),"",MAX(0,Dashboard_Query[[#This Row],[Current Usage]]-Dashboard_Query[[#This Row],[Monthly Allowance]]))</f>
        <v>0</v>
      </c>
      <c r="V100" s="4" t="str">
        <f>IF(Dashboard_Query[[#This Row],[Monthly Allowance]]="","",IF(Dashboard_Query[[#This Row],[Overage]]&gt;0,"OVER",IF(Dashboard_Query[[#This Row],[% Used]]&gt;=0.8,"WARNING","OK")))</f>
        <v>OK</v>
      </c>
      <c r="W100" s="1"/>
      <c r="X100" s="1"/>
    </row>
    <row r="101" spans="1:24">
      <c r="A101" s="4" t="s">
        <v>298</v>
      </c>
      <c r="B101" s="4">
        <v>812838</v>
      </c>
      <c r="C101" s="4" t="s">
        <v>173</v>
      </c>
      <c r="D101" s="4" t="s">
        <v>174</v>
      </c>
      <c r="E101" s="4" t="s">
        <v>175</v>
      </c>
      <c r="F101" s="4">
        <v>211120714</v>
      </c>
      <c r="G101" s="6">
        <v>46204</v>
      </c>
      <c r="H101" s="6">
        <v>46235</v>
      </c>
      <c r="I101" s="32">
        <v>46266</v>
      </c>
      <c r="J101" s="1">
        <v>8</v>
      </c>
      <c r="K101" s="4">
        <v>500</v>
      </c>
      <c r="L101" s="4" t="s">
        <v>122</v>
      </c>
      <c r="M101" s="4" t="s">
        <v>123</v>
      </c>
      <c r="N101" s="6">
        <v>46235</v>
      </c>
      <c r="O101" s="1"/>
      <c r="P101" s="4">
        <v>29.82</v>
      </c>
      <c r="Q101" s="4">
        <v>29.82</v>
      </c>
      <c r="R101" s="4">
        <f>IF(
    OR(Dashboard_Query[[#This Row],[Monthly Allowance]]="",Dashboard_Query[[#This Row],[Current Usage]]=""),
    "",
    MAX(0,Dashboard_Query[[#This Row],[Monthly Allowance]]-Dashboard_Query[[#This Row],[Current Usage]])
)</f>
        <v>470.18</v>
      </c>
      <c r="S101" s="9">
        <f>IF(OR(Dashboard_Query[[#This Row],[Monthly Allowance]]="",Dashboard_Query[[#This Row],[Current Usage]]=""),"",Dashboard_Query[[#This Row],[Current Usage]]/Dashboard_Query[[#This Row],[Monthly Allowance]])</f>
        <v>5.9639999999999999E-2</v>
      </c>
      <c r="T101" s="9">
        <f>IF(Dashboard_Query[[#This Row],[% Used]]="","",1-Dashboard_Query[[#This Row],[% Used]])</f>
        <v>0.94035999999999997</v>
      </c>
      <c r="U101" s="4">
        <f>IF(OR(Dashboard_Query[[#This Row],[Monthly Allowance]]="",Dashboard_Query[[#This Row],[Current Usage]]=""),"",MAX(0,Dashboard_Query[[#This Row],[Current Usage]]-Dashboard_Query[[#This Row],[Monthly Allowance]]))</f>
        <v>0</v>
      </c>
      <c r="V101" s="4" t="str">
        <f>IF(Dashboard_Query[[#This Row],[Monthly Allowance]]="","",IF(Dashboard_Query[[#This Row],[Overage]]&gt;0,"OVER",IF(Dashboard_Query[[#This Row],[% Used]]&gt;=0.8,"WARNING","OK")))</f>
        <v>OK</v>
      </c>
      <c r="W101" s="1"/>
      <c r="X101" s="1"/>
    </row>
    <row r="102" spans="1:24">
      <c r="A102" s="4" t="s">
        <v>225</v>
      </c>
      <c r="B102" s="4">
        <v>810096</v>
      </c>
      <c r="C102" s="4" t="s">
        <v>388</v>
      </c>
      <c r="D102" s="4" t="s">
        <v>306</v>
      </c>
      <c r="E102" s="4" t="s">
        <v>389</v>
      </c>
      <c r="F102" s="4">
        <v>211121969</v>
      </c>
      <c r="G102" s="6">
        <v>46246</v>
      </c>
      <c r="H102" s="6">
        <v>46246</v>
      </c>
      <c r="I102" s="32">
        <v>46277</v>
      </c>
      <c r="J102" s="1">
        <v>19</v>
      </c>
      <c r="K102" s="4">
        <v>500</v>
      </c>
      <c r="L102" s="4" t="s">
        <v>122</v>
      </c>
      <c r="M102" s="4" t="s">
        <v>123</v>
      </c>
      <c r="N102" s="6">
        <v>46246</v>
      </c>
      <c r="O102" s="1"/>
      <c r="P102" s="4">
        <v>38.31</v>
      </c>
      <c r="Q102" s="4">
        <v>29.520000000000003</v>
      </c>
      <c r="R102" s="4">
        <f>IF(
    OR(Dashboard_Query[[#This Row],[Monthly Allowance]]="",Dashboard_Query[[#This Row],[Current Usage]]=""),
    "",
    MAX(0,Dashboard_Query[[#This Row],[Monthly Allowance]]-Dashboard_Query[[#This Row],[Current Usage]])
)</f>
        <v>470.48</v>
      </c>
      <c r="S102" s="9">
        <f>IF(OR(Dashboard_Query[[#This Row],[Monthly Allowance]]="",Dashboard_Query[[#This Row],[Current Usage]]=""),"",Dashboard_Query[[#This Row],[Current Usage]]/Dashboard_Query[[#This Row],[Monthly Allowance]])</f>
        <v>5.9040000000000009E-2</v>
      </c>
      <c r="T102" s="9">
        <f>IF(Dashboard_Query[[#This Row],[% Used]]="","",1-Dashboard_Query[[#This Row],[% Used]])</f>
        <v>0.94096000000000002</v>
      </c>
      <c r="U102" s="4">
        <f>IF(OR(Dashboard_Query[[#This Row],[Monthly Allowance]]="",Dashboard_Query[[#This Row],[Current Usage]]=""),"",MAX(0,Dashboard_Query[[#This Row],[Current Usage]]-Dashboard_Query[[#This Row],[Monthly Allowance]]))</f>
        <v>0</v>
      </c>
      <c r="V102" s="4" t="str">
        <f>IF(Dashboard_Query[[#This Row],[Monthly Allowance]]="","",IF(Dashboard_Query[[#This Row],[Overage]]&gt;0,"OVER",IF(Dashboard_Query[[#This Row],[% Used]]&gt;=0.8,"WARNING","OK")))</f>
        <v>OK</v>
      </c>
      <c r="W102" s="1"/>
      <c r="X102" s="1"/>
    </row>
    <row r="103" spans="1:24">
      <c r="A103" s="4" t="s">
        <v>211</v>
      </c>
      <c r="B103" s="4">
        <v>812849</v>
      </c>
      <c r="C103" s="4" t="s">
        <v>472</v>
      </c>
      <c r="D103" s="4" t="s">
        <v>393</v>
      </c>
      <c r="E103" s="4" t="s">
        <v>128</v>
      </c>
      <c r="F103" s="4">
        <v>211122084</v>
      </c>
      <c r="G103" s="6">
        <v>46248</v>
      </c>
      <c r="H103" s="6">
        <v>46248</v>
      </c>
      <c r="I103" s="32">
        <v>46279</v>
      </c>
      <c r="J103" s="1">
        <v>21</v>
      </c>
      <c r="K103" s="4">
        <v>500</v>
      </c>
      <c r="L103" s="4" t="s">
        <v>122</v>
      </c>
      <c r="M103" s="4" t="s">
        <v>123</v>
      </c>
      <c r="N103" s="6">
        <v>46248</v>
      </c>
      <c r="O103" s="1"/>
      <c r="P103" s="4">
        <v>52.55</v>
      </c>
      <c r="Q103" s="4">
        <v>29.129999999999995</v>
      </c>
      <c r="R103" s="4">
        <f>IF(
    OR(Dashboard_Query[[#This Row],[Monthly Allowance]]="",Dashboard_Query[[#This Row],[Current Usage]]=""),
    "",
    MAX(0,Dashboard_Query[[#This Row],[Monthly Allowance]]-Dashboard_Query[[#This Row],[Current Usage]])
)</f>
        <v>470.87</v>
      </c>
      <c r="S103" s="9">
        <f>IF(OR(Dashboard_Query[[#This Row],[Monthly Allowance]]="",Dashboard_Query[[#This Row],[Current Usage]]=""),"",Dashboard_Query[[#This Row],[Current Usage]]/Dashboard_Query[[#This Row],[Monthly Allowance]])</f>
        <v>5.8259999999999992E-2</v>
      </c>
      <c r="T103" s="9">
        <f>IF(Dashboard_Query[[#This Row],[% Used]]="","",1-Dashboard_Query[[#This Row],[% Used]])</f>
        <v>0.94174000000000002</v>
      </c>
      <c r="U103" s="4">
        <f>IF(OR(Dashboard_Query[[#This Row],[Monthly Allowance]]="",Dashboard_Query[[#This Row],[Current Usage]]=""),"",MAX(0,Dashboard_Query[[#This Row],[Current Usage]]-Dashboard_Query[[#This Row],[Monthly Allowance]]))</f>
        <v>0</v>
      </c>
      <c r="V103" s="4" t="str">
        <f>IF(Dashboard_Query[[#This Row],[Monthly Allowance]]="","",IF(Dashboard_Query[[#This Row],[Overage]]&gt;0,"OVER",IF(Dashboard_Query[[#This Row],[% Used]]&gt;=0.8,"WARNING","OK")))</f>
        <v>OK</v>
      </c>
      <c r="W103" s="1"/>
      <c r="X103" s="1"/>
    </row>
    <row r="104" spans="1:24">
      <c r="A104" s="4" t="s">
        <v>280</v>
      </c>
      <c r="B104" s="4">
        <v>812850</v>
      </c>
      <c r="C104" s="4" t="s">
        <v>472</v>
      </c>
      <c r="D104" s="4" t="s">
        <v>393</v>
      </c>
      <c r="E104" s="4" t="s">
        <v>128</v>
      </c>
      <c r="F104" s="4">
        <v>211122084</v>
      </c>
      <c r="G104" s="6">
        <v>46248</v>
      </c>
      <c r="H104" s="6">
        <v>46248</v>
      </c>
      <c r="I104" s="32">
        <v>46279</v>
      </c>
      <c r="J104" s="1">
        <v>21</v>
      </c>
      <c r="K104" s="4">
        <v>500</v>
      </c>
      <c r="L104" s="4" t="s">
        <v>122</v>
      </c>
      <c r="M104" s="4" t="s">
        <v>123</v>
      </c>
      <c r="N104" s="6">
        <v>46248</v>
      </c>
      <c r="O104" s="1"/>
      <c r="P104" s="4">
        <v>30.96</v>
      </c>
      <c r="Q104" s="4">
        <v>29.03</v>
      </c>
      <c r="R104" s="4">
        <f>IF(
    OR(Dashboard_Query[[#This Row],[Monthly Allowance]]="",Dashboard_Query[[#This Row],[Current Usage]]=""),
    "",
    MAX(0,Dashboard_Query[[#This Row],[Monthly Allowance]]-Dashboard_Query[[#This Row],[Current Usage]])
)</f>
        <v>470.97</v>
      </c>
      <c r="S104" s="9">
        <f>IF(OR(Dashboard_Query[[#This Row],[Monthly Allowance]]="",Dashboard_Query[[#This Row],[Current Usage]]=""),"",Dashboard_Query[[#This Row],[Current Usage]]/Dashboard_Query[[#This Row],[Monthly Allowance]])</f>
        <v>5.806E-2</v>
      </c>
      <c r="T104" s="9">
        <f>IF(Dashboard_Query[[#This Row],[% Used]]="","",1-Dashboard_Query[[#This Row],[% Used]])</f>
        <v>0.94194</v>
      </c>
      <c r="U104" s="4">
        <f>IF(OR(Dashboard_Query[[#This Row],[Monthly Allowance]]="",Dashboard_Query[[#This Row],[Current Usage]]=""),"",MAX(0,Dashboard_Query[[#This Row],[Current Usage]]-Dashboard_Query[[#This Row],[Monthly Allowance]]))</f>
        <v>0</v>
      </c>
      <c r="V104" s="4" t="str">
        <f>IF(Dashboard_Query[[#This Row],[Monthly Allowance]]="","",IF(Dashboard_Query[[#This Row],[Overage]]&gt;0,"OVER",IF(Dashboard_Query[[#This Row],[% Used]]&gt;=0.8,"WARNING","OK")))</f>
        <v>OK</v>
      </c>
      <c r="W104" s="1"/>
      <c r="X104" s="1"/>
    </row>
    <row r="105" spans="1:24">
      <c r="A105" s="4" t="s">
        <v>136</v>
      </c>
      <c r="B105" s="4">
        <v>814432</v>
      </c>
      <c r="C105" s="4" t="s">
        <v>472</v>
      </c>
      <c r="D105" s="4" t="s">
        <v>393</v>
      </c>
      <c r="E105" s="4" t="s">
        <v>128</v>
      </c>
      <c r="F105" s="4">
        <v>211122084</v>
      </c>
      <c r="G105" s="6">
        <v>46248</v>
      </c>
      <c r="H105" s="6">
        <v>46248</v>
      </c>
      <c r="I105" s="32">
        <v>46279</v>
      </c>
      <c r="J105" s="1">
        <v>21</v>
      </c>
      <c r="K105" s="4">
        <v>500</v>
      </c>
      <c r="L105" s="4" t="s">
        <v>122</v>
      </c>
      <c r="M105" s="4" t="s">
        <v>123</v>
      </c>
      <c r="N105" s="6">
        <v>46248</v>
      </c>
      <c r="O105" s="1"/>
      <c r="P105" s="4">
        <v>28.13</v>
      </c>
      <c r="Q105" s="4">
        <v>28.13</v>
      </c>
      <c r="R105" s="4">
        <f>IF(
    OR(Dashboard_Query[[#This Row],[Monthly Allowance]]="",Dashboard_Query[[#This Row],[Current Usage]]=""),
    "",
    MAX(0,Dashboard_Query[[#This Row],[Monthly Allowance]]-Dashboard_Query[[#This Row],[Current Usage]])
)</f>
        <v>471.87</v>
      </c>
      <c r="S105" s="9">
        <f>IF(OR(Dashboard_Query[[#This Row],[Monthly Allowance]]="",Dashboard_Query[[#This Row],[Current Usage]]=""),"",Dashboard_Query[[#This Row],[Current Usage]]/Dashboard_Query[[#This Row],[Monthly Allowance]])</f>
        <v>5.6259999999999998E-2</v>
      </c>
      <c r="T105" s="9">
        <f>IF(Dashboard_Query[[#This Row],[% Used]]="","",1-Dashboard_Query[[#This Row],[% Used]])</f>
        <v>0.94374000000000002</v>
      </c>
      <c r="U105" s="4">
        <f>IF(OR(Dashboard_Query[[#This Row],[Monthly Allowance]]="",Dashboard_Query[[#This Row],[Current Usage]]=""),"",MAX(0,Dashboard_Query[[#This Row],[Current Usage]]-Dashboard_Query[[#This Row],[Monthly Allowance]]))</f>
        <v>0</v>
      </c>
      <c r="V105" s="4" t="str">
        <f>IF(Dashboard_Query[[#This Row],[Monthly Allowance]]="","",IF(Dashboard_Query[[#This Row],[Overage]]&gt;0,"OVER",IF(Dashboard_Query[[#This Row],[% Used]]&gt;=0.8,"WARNING","OK")))</f>
        <v>OK</v>
      </c>
      <c r="W105" s="1"/>
      <c r="X105" s="1"/>
    </row>
    <row r="106" spans="1:24" hidden="1">
      <c r="A106" s="4" t="s">
        <v>361</v>
      </c>
      <c r="B106" s="4">
        <v>810099</v>
      </c>
      <c r="C106" s="4"/>
      <c r="D106" s="4"/>
      <c r="E106" s="4"/>
      <c r="F106" s="4"/>
      <c r="G106" s="6"/>
      <c r="H106" s="6"/>
      <c r="I106" s="32"/>
      <c r="J106" s="1"/>
      <c r="K106" s="4">
        <v>500</v>
      </c>
      <c r="L106" s="4" t="s">
        <v>122</v>
      </c>
      <c r="M106" s="4" t="s">
        <v>35</v>
      </c>
      <c r="N106" s="6"/>
      <c r="O106" s="1"/>
      <c r="P106" s="4">
        <v>27.1</v>
      </c>
      <c r="Q106" s="4">
        <v>27.14</v>
      </c>
      <c r="R106" s="4">
        <f>IF(
    OR(Dashboard_Query[[#This Row],[Monthly Allowance]]="",Dashboard_Query[[#This Row],[Current Usage]]=""),
    "",
    MAX(0,Dashboard_Query[[#This Row],[Monthly Allowance]]-Dashboard_Query[[#This Row],[Current Usage]])
)</f>
        <v>472.86</v>
      </c>
      <c r="S106" s="9">
        <f>IF(OR(Dashboard_Query[[#This Row],[Monthly Allowance]]="",Dashboard_Query[[#This Row],[Current Usage]]=""),"",Dashboard_Query[[#This Row],[Current Usage]]/Dashboard_Query[[#This Row],[Monthly Allowance]])</f>
        <v>5.4280000000000002E-2</v>
      </c>
      <c r="T106" s="9">
        <f>IF(Dashboard_Query[[#This Row],[% Used]]="","",1-Dashboard_Query[[#This Row],[% Used]])</f>
        <v>0.94572000000000001</v>
      </c>
      <c r="U106" s="4">
        <f>IF(OR(Dashboard_Query[[#This Row],[Monthly Allowance]]="",Dashboard_Query[[#This Row],[Current Usage]]=""),"",MAX(0,Dashboard_Query[[#This Row],[Current Usage]]-Dashboard_Query[[#This Row],[Monthly Allowance]]))</f>
        <v>0</v>
      </c>
      <c r="V106" s="4" t="str">
        <f>IF(Dashboard_Query[[#This Row],[Monthly Allowance]]="","",IF(Dashboard_Query[[#This Row],[Overage]]&gt;0,"OVER",IF(Dashboard_Query[[#This Row],[% Used]]&gt;=0.8,"WARNING","OK")))</f>
        <v>OK</v>
      </c>
      <c r="W106" s="1"/>
      <c r="X106" s="1"/>
    </row>
    <row r="107" spans="1:24">
      <c r="A107" s="4" t="s">
        <v>303</v>
      </c>
      <c r="B107" s="4">
        <v>809866</v>
      </c>
      <c r="C107" s="4" t="s">
        <v>388</v>
      </c>
      <c r="D107" s="4" t="s">
        <v>306</v>
      </c>
      <c r="E107" s="4" t="s">
        <v>389</v>
      </c>
      <c r="F107" s="4">
        <v>211121969</v>
      </c>
      <c r="G107" s="6">
        <v>46246</v>
      </c>
      <c r="H107" s="6">
        <v>46246</v>
      </c>
      <c r="I107" s="32">
        <v>46277</v>
      </c>
      <c r="J107" s="1">
        <v>19</v>
      </c>
      <c r="K107" s="4">
        <v>500</v>
      </c>
      <c r="L107" s="4" t="s">
        <v>122</v>
      </c>
      <c r="M107" s="4" t="s">
        <v>123</v>
      </c>
      <c r="N107" s="6">
        <v>46246</v>
      </c>
      <c r="O107" s="1"/>
      <c r="P107" s="4">
        <v>26.69</v>
      </c>
      <c r="Q107" s="4">
        <v>26.69</v>
      </c>
      <c r="R107" s="4">
        <f>IF(
    OR(Dashboard_Query[[#This Row],[Monthly Allowance]]="",Dashboard_Query[[#This Row],[Current Usage]]=""),
    "",
    MAX(0,Dashboard_Query[[#This Row],[Monthly Allowance]]-Dashboard_Query[[#This Row],[Current Usage]])
)</f>
        <v>473.31</v>
      </c>
      <c r="S107" s="9">
        <f>IF(OR(Dashboard_Query[[#This Row],[Monthly Allowance]]="",Dashboard_Query[[#This Row],[Current Usage]]=""),"",Dashboard_Query[[#This Row],[Current Usage]]/Dashboard_Query[[#This Row],[Monthly Allowance]])</f>
        <v>5.3380000000000004E-2</v>
      </c>
      <c r="T107" s="9">
        <f>IF(Dashboard_Query[[#This Row],[% Used]]="","",1-Dashboard_Query[[#This Row],[% Used]])</f>
        <v>0.94662000000000002</v>
      </c>
      <c r="U107" s="4">
        <f>IF(OR(Dashboard_Query[[#This Row],[Monthly Allowance]]="",Dashboard_Query[[#This Row],[Current Usage]]=""),"",MAX(0,Dashboard_Query[[#This Row],[Current Usage]]-Dashboard_Query[[#This Row],[Monthly Allowance]]))</f>
        <v>0</v>
      </c>
      <c r="V107" s="4" t="str">
        <f>IF(Dashboard_Query[[#This Row],[Monthly Allowance]]="","",IF(Dashboard_Query[[#This Row],[Overage]]&gt;0,"OVER",IF(Dashboard_Query[[#This Row],[% Used]]&gt;=0.8,"WARNING","OK")))</f>
        <v>OK</v>
      </c>
      <c r="W107" s="1"/>
      <c r="X107" s="1"/>
    </row>
    <row r="108" spans="1:24">
      <c r="A108" s="4" t="s">
        <v>267</v>
      </c>
      <c r="B108" s="4">
        <v>810834</v>
      </c>
      <c r="C108" s="4" t="s">
        <v>472</v>
      </c>
      <c r="D108" s="4" t="s">
        <v>393</v>
      </c>
      <c r="E108" s="4" t="s">
        <v>128</v>
      </c>
      <c r="F108" s="4">
        <v>211122084</v>
      </c>
      <c r="G108" s="6">
        <v>46248</v>
      </c>
      <c r="H108" s="6">
        <v>46248</v>
      </c>
      <c r="I108" s="32">
        <v>46279</v>
      </c>
      <c r="J108" s="1">
        <v>21</v>
      </c>
      <c r="K108" s="4">
        <v>500</v>
      </c>
      <c r="L108" s="4" t="s">
        <v>122</v>
      </c>
      <c r="M108" s="4" t="s">
        <v>123</v>
      </c>
      <c r="N108" s="6">
        <v>46248</v>
      </c>
      <c r="O108" s="1"/>
      <c r="P108" s="4">
        <v>29.08</v>
      </c>
      <c r="Q108" s="4">
        <v>25.45</v>
      </c>
      <c r="R108" s="4">
        <f>IF(
    OR(Dashboard_Query[[#This Row],[Monthly Allowance]]="",Dashboard_Query[[#This Row],[Current Usage]]=""),
    "",
    MAX(0,Dashboard_Query[[#This Row],[Monthly Allowance]]-Dashboard_Query[[#This Row],[Current Usage]])
)</f>
        <v>474.55</v>
      </c>
      <c r="S108" s="9">
        <f>IF(OR(Dashboard_Query[[#This Row],[Monthly Allowance]]="",Dashboard_Query[[#This Row],[Current Usage]]=""),"",Dashboard_Query[[#This Row],[Current Usage]]/Dashboard_Query[[#This Row],[Monthly Allowance]])</f>
        <v>5.0900000000000001E-2</v>
      </c>
      <c r="T108" s="9">
        <f>IF(Dashboard_Query[[#This Row],[% Used]]="","",1-Dashboard_Query[[#This Row],[% Used]])</f>
        <v>0.94910000000000005</v>
      </c>
      <c r="U108" s="4">
        <f>IF(OR(Dashboard_Query[[#This Row],[Monthly Allowance]]="",Dashboard_Query[[#This Row],[Current Usage]]=""),"",MAX(0,Dashboard_Query[[#This Row],[Current Usage]]-Dashboard_Query[[#This Row],[Monthly Allowance]]))</f>
        <v>0</v>
      </c>
      <c r="V108" s="4" t="str">
        <f>IF(Dashboard_Query[[#This Row],[Monthly Allowance]]="","",IF(Dashboard_Query[[#This Row],[Overage]]&gt;0,"OVER",IF(Dashboard_Query[[#This Row],[% Used]]&gt;=0.8,"WARNING","OK")))</f>
        <v>OK</v>
      </c>
      <c r="W108" s="1"/>
      <c r="X108" s="1"/>
    </row>
    <row r="109" spans="1:24">
      <c r="A109" s="4" t="s">
        <v>266</v>
      </c>
      <c r="B109" s="4">
        <v>810831</v>
      </c>
      <c r="C109" s="4" t="s">
        <v>388</v>
      </c>
      <c r="D109" s="4" t="s">
        <v>306</v>
      </c>
      <c r="E109" s="4" t="s">
        <v>389</v>
      </c>
      <c r="F109" s="4">
        <v>211121969</v>
      </c>
      <c r="G109" s="6">
        <v>46246</v>
      </c>
      <c r="H109" s="6">
        <v>46246</v>
      </c>
      <c r="I109" s="32">
        <v>46277</v>
      </c>
      <c r="J109" s="1">
        <v>19</v>
      </c>
      <c r="K109" s="4">
        <v>500</v>
      </c>
      <c r="L109" s="4" t="s">
        <v>122</v>
      </c>
      <c r="M109" s="4" t="s">
        <v>123</v>
      </c>
      <c r="N109" s="6">
        <v>46246</v>
      </c>
      <c r="O109" s="1"/>
      <c r="P109" s="4">
        <v>25.13</v>
      </c>
      <c r="Q109" s="4">
        <v>24.689999999999998</v>
      </c>
      <c r="R109" s="4">
        <f>IF(
    OR(Dashboard_Query[[#This Row],[Monthly Allowance]]="",Dashboard_Query[[#This Row],[Current Usage]]=""),
    "",
    MAX(0,Dashboard_Query[[#This Row],[Monthly Allowance]]-Dashboard_Query[[#This Row],[Current Usage]])
)</f>
        <v>475.31</v>
      </c>
      <c r="S109" s="9">
        <f>IF(OR(Dashboard_Query[[#This Row],[Monthly Allowance]]="",Dashboard_Query[[#This Row],[Current Usage]]=""),"",Dashboard_Query[[#This Row],[Current Usage]]/Dashboard_Query[[#This Row],[Monthly Allowance]])</f>
        <v>4.9379999999999993E-2</v>
      </c>
      <c r="T109" s="9">
        <f>IF(Dashboard_Query[[#This Row],[% Used]]="","",1-Dashboard_Query[[#This Row],[% Used]])</f>
        <v>0.95062000000000002</v>
      </c>
      <c r="U109" s="4">
        <f>IF(OR(Dashboard_Query[[#This Row],[Monthly Allowance]]="",Dashboard_Query[[#This Row],[Current Usage]]=""),"",MAX(0,Dashboard_Query[[#This Row],[Current Usage]]-Dashboard_Query[[#This Row],[Monthly Allowance]]))</f>
        <v>0</v>
      </c>
      <c r="V109" s="4" t="str">
        <f>IF(Dashboard_Query[[#This Row],[Monthly Allowance]]="","",IF(Dashboard_Query[[#This Row],[Overage]]&gt;0,"OVER",IF(Dashboard_Query[[#This Row],[% Used]]&gt;=0.8,"WARNING","OK")))</f>
        <v>OK</v>
      </c>
      <c r="W109" s="1"/>
      <c r="X109" s="1"/>
    </row>
    <row r="110" spans="1:24">
      <c r="A110" s="4" t="s">
        <v>222</v>
      </c>
      <c r="B110" s="4">
        <v>809606</v>
      </c>
      <c r="C110" s="4" t="s">
        <v>179</v>
      </c>
      <c r="D110" s="4" t="s">
        <v>223</v>
      </c>
      <c r="E110" s="4" t="s">
        <v>224</v>
      </c>
      <c r="F110" s="4">
        <v>211121575</v>
      </c>
      <c r="G110" s="6">
        <v>46233</v>
      </c>
      <c r="H110" s="6">
        <v>46233</v>
      </c>
      <c r="I110" s="32">
        <v>46264</v>
      </c>
      <c r="J110" s="1">
        <v>6</v>
      </c>
      <c r="K110" s="4">
        <v>1000</v>
      </c>
      <c r="L110" s="4" t="s">
        <v>122</v>
      </c>
      <c r="M110" s="4" t="s">
        <v>123</v>
      </c>
      <c r="N110" s="6">
        <v>46233</v>
      </c>
      <c r="O110" s="1"/>
      <c r="P110" s="4">
        <v>49.23</v>
      </c>
      <c r="Q110" s="4">
        <v>49.23</v>
      </c>
      <c r="R110" s="4">
        <f>IF(
    OR(Dashboard_Query[[#This Row],[Monthly Allowance]]="",Dashboard_Query[[#This Row],[Current Usage]]=""),
    "",
    MAX(0,Dashboard_Query[[#This Row],[Monthly Allowance]]-Dashboard_Query[[#This Row],[Current Usage]])
)</f>
        <v>950.77</v>
      </c>
      <c r="S110" s="9">
        <f>IF(OR(Dashboard_Query[[#This Row],[Monthly Allowance]]="",Dashboard_Query[[#This Row],[Current Usage]]=""),"",Dashboard_Query[[#This Row],[Current Usage]]/Dashboard_Query[[#This Row],[Monthly Allowance]])</f>
        <v>4.9229999999999996E-2</v>
      </c>
      <c r="T110" s="9">
        <f>IF(Dashboard_Query[[#This Row],[% Used]]="","",1-Dashboard_Query[[#This Row],[% Used]])</f>
        <v>0.95077</v>
      </c>
      <c r="U110" s="4">
        <f>IF(OR(Dashboard_Query[[#This Row],[Monthly Allowance]]="",Dashboard_Query[[#This Row],[Current Usage]]=""),"",MAX(0,Dashboard_Query[[#This Row],[Current Usage]]-Dashboard_Query[[#This Row],[Monthly Allowance]]))</f>
        <v>0</v>
      </c>
      <c r="V110" s="4" t="str">
        <f>IF(Dashboard_Query[[#This Row],[Monthly Allowance]]="","",IF(Dashboard_Query[[#This Row],[Overage]]&gt;0,"OVER",IF(Dashboard_Query[[#This Row],[% Used]]&gt;=0.8,"WARNING","OK")))</f>
        <v>OK</v>
      </c>
      <c r="W110" s="1"/>
      <c r="X110" s="1"/>
    </row>
    <row r="111" spans="1:24">
      <c r="A111" s="4" t="s">
        <v>283</v>
      </c>
      <c r="B111" s="4">
        <v>814435</v>
      </c>
      <c r="C111" s="4" t="s">
        <v>388</v>
      </c>
      <c r="D111" s="4" t="s">
        <v>306</v>
      </c>
      <c r="E111" s="4" t="s">
        <v>389</v>
      </c>
      <c r="F111" s="4">
        <v>211121969</v>
      </c>
      <c r="G111" s="6">
        <v>46246</v>
      </c>
      <c r="H111" s="6">
        <v>46246</v>
      </c>
      <c r="I111" s="32">
        <v>46277</v>
      </c>
      <c r="J111" s="1">
        <v>19</v>
      </c>
      <c r="K111" s="4">
        <v>500</v>
      </c>
      <c r="L111" s="4" t="s">
        <v>122</v>
      </c>
      <c r="M111" s="4" t="s">
        <v>123</v>
      </c>
      <c r="N111" s="6">
        <v>46246</v>
      </c>
      <c r="O111" s="1"/>
      <c r="P111" s="4">
        <v>24.54</v>
      </c>
      <c r="Q111" s="4">
        <v>24.54</v>
      </c>
      <c r="R111" s="4">
        <f>IF(
    OR(Dashboard_Query[[#This Row],[Monthly Allowance]]="",Dashboard_Query[[#This Row],[Current Usage]]=""),
    "",
    MAX(0,Dashboard_Query[[#This Row],[Monthly Allowance]]-Dashboard_Query[[#This Row],[Current Usage]])
)</f>
        <v>475.46</v>
      </c>
      <c r="S111" s="9">
        <f>IF(OR(Dashboard_Query[[#This Row],[Monthly Allowance]]="",Dashboard_Query[[#This Row],[Current Usage]]=""),"",Dashboard_Query[[#This Row],[Current Usage]]/Dashboard_Query[[#This Row],[Monthly Allowance]])</f>
        <v>4.9079999999999999E-2</v>
      </c>
      <c r="T111" s="9">
        <f>IF(Dashboard_Query[[#This Row],[% Used]]="","",1-Dashboard_Query[[#This Row],[% Used]])</f>
        <v>0.95091999999999999</v>
      </c>
      <c r="U111" s="4">
        <f>IF(OR(Dashboard_Query[[#This Row],[Monthly Allowance]]="",Dashboard_Query[[#This Row],[Current Usage]]=""),"",MAX(0,Dashboard_Query[[#This Row],[Current Usage]]-Dashboard_Query[[#This Row],[Monthly Allowance]]))</f>
        <v>0</v>
      </c>
      <c r="V111" s="4" t="str">
        <f>IF(Dashboard_Query[[#This Row],[Monthly Allowance]]="","",IF(Dashboard_Query[[#This Row],[Overage]]&gt;0,"OVER",IF(Dashboard_Query[[#This Row],[% Used]]&gt;=0.8,"WARNING","OK")))</f>
        <v>OK</v>
      </c>
      <c r="W111" s="1"/>
      <c r="X111" s="1"/>
    </row>
    <row r="112" spans="1:24">
      <c r="A112" s="4" t="s">
        <v>218</v>
      </c>
      <c r="B112" s="4">
        <v>814465</v>
      </c>
      <c r="C112" s="4" t="s">
        <v>472</v>
      </c>
      <c r="D112" s="4" t="s">
        <v>393</v>
      </c>
      <c r="E112" s="4" t="s">
        <v>128</v>
      </c>
      <c r="F112" s="4">
        <v>211122084</v>
      </c>
      <c r="G112" s="6">
        <v>46248</v>
      </c>
      <c r="H112" s="6">
        <v>46248</v>
      </c>
      <c r="I112" s="32">
        <v>46279</v>
      </c>
      <c r="J112" s="1">
        <v>21</v>
      </c>
      <c r="K112" s="4">
        <v>500</v>
      </c>
      <c r="L112" s="4" t="s">
        <v>122</v>
      </c>
      <c r="M112" s="4" t="s">
        <v>123</v>
      </c>
      <c r="N112" s="6">
        <v>46248</v>
      </c>
      <c r="O112" s="1"/>
      <c r="P112" s="4">
        <v>88.88</v>
      </c>
      <c r="Q112" s="4">
        <v>24.11999999999999</v>
      </c>
      <c r="R112" s="4">
        <f>IF(
    OR(Dashboard_Query[[#This Row],[Monthly Allowance]]="",Dashboard_Query[[#This Row],[Current Usage]]=""),
    "",
    MAX(0,Dashboard_Query[[#This Row],[Monthly Allowance]]-Dashboard_Query[[#This Row],[Current Usage]])
)</f>
        <v>475.88</v>
      </c>
      <c r="S112" s="9">
        <f>IF(OR(Dashboard_Query[[#This Row],[Monthly Allowance]]="",Dashboard_Query[[#This Row],[Current Usage]]=""),"",Dashboard_Query[[#This Row],[Current Usage]]/Dashboard_Query[[#This Row],[Monthly Allowance]])</f>
        <v>4.8239999999999977E-2</v>
      </c>
      <c r="T112" s="9">
        <f>IF(Dashboard_Query[[#This Row],[% Used]]="","",1-Dashboard_Query[[#This Row],[% Used]])</f>
        <v>0.95176000000000005</v>
      </c>
      <c r="U112" s="4">
        <f>IF(OR(Dashboard_Query[[#This Row],[Monthly Allowance]]="",Dashboard_Query[[#This Row],[Current Usage]]=""),"",MAX(0,Dashboard_Query[[#This Row],[Current Usage]]-Dashboard_Query[[#This Row],[Monthly Allowance]]))</f>
        <v>0</v>
      </c>
      <c r="V112" s="4" t="str">
        <f>IF(Dashboard_Query[[#This Row],[Monthly Allowance]]="","",IF(Dashboard_Query[[#This Row],[Overage]]&gt;0,"OVER",IF(Dashboard_Query[[#This Row],[% Used]]&gt;=0.8,"WARNING","OK")))</f>
        <v>OK</v>
      </c>
      <c r="W112" s="1"/>
      <c r="X112" s="1"/>
    </row>
    <row r="113" spans="1:24">
      <c r="A113" s="4" t="s">
        <v>292</v>
      </c>
      <c r="B113" s="4">
        <v>809659</v>
      </c>
      <c r="C113" s="4" t="s">
        <v>388</v>
      </c>
      <c r="D113" s="4" t="s">
        <v>306</v>
      </c>
      <c r="E113" s="4" t="s">
        <v>389</v>
      </c>
      <c r="F113" s="4">
        <v>211121969</v>
      </c>
      <c r="G113" s="6">
        <v>46246</v>
      </c>
      <c r="H113" s="6">
        <v>46246</v>
      </c>
      <c r="I113" s="32">
        <v>46277</v>
      </c>
      <c r="J113" s="1">
        <v>19</v>
      </c>
      <c r="K113" s="4">
        <v>500</v>
      </c>
      <c r="L113" s="4" t="s">
        <v>122</v>
      </c>
      <c r="M113" s="4" t="s">
        <v>123</v>
      </c>
      <c r="N113" s="6">
        <v>46246</v>
      </c>
      <c r="O113" s="1"/>
      <c r="P113" s="4">
        <v>23.73</v>
      </c>
      <c r="Q113" s="4">
        <v>23.68</v>
      </c>
      <c r="R113" s="4">
        <f>IF(
    OR(Dashboard_Query[[#This Row],[Monthly Allowance]]="",Dashboard_Query[[#This Row],[Current Usage]]=""),
    "",
    MAX(0,Dashboard_Query[[#This Row],[Monthly Allowance]]-Dashboard_Query[[#This Row],[Current Usage]])
)</f>
        <v>476.32</v>
      </c>
      <c r="S113" s="9">
        <f>IF(OR(Dashboard_Query[[#This Row],[Monthly Allowance]]="",Dashboard_Query[[#This Row],[Current Usage]]=""),"",Dashboard_Query[[#This Row],[Current Usage]]/Dashboard_Query[[#This Row],[Monthly Allowance]])</f>
        <v>4.7359999999999999E-2</v>
      </c>
      <c r="T113" s="9">
        <f>IF(Dashboard_Query[[#This Row],[% Used]]="","",1-Dashboard_Query[[#This Row],[% Used]])</f>
        <v>0.95264000000000004</v>
      </c>
      <c r="U113" s="4">
        <f>IF(OR(Dashboard_Query[[#This Row],[Monthly Allowance]]="",Dashboard_Query[[#This Row],[Current Usage]]=""),"",MAX(0,Dashboard_Query[[#This Row],[Current Usage]]-Dashboard_Query[[#This Row],[Monthly Allowance]]))</f>
        <v>0</v>
      </c>
      <c r="V113" s="4" t="str">
        <f>IF(Dashboard_Query[[#This Row],[Monthly Allowance]]="","",IF(Dashboard_Query[[#This Row],[Overage]]&gt;0,"OVER",IF(Dashboard_Query[[#This Row],[% Used]]&gt;=0.8,"WARNING","OK")))</f>
        <v>OK</v>
      </c>
      <c r="W113" s="1"/>
      <c r="X113" s="1"/>
    </row>
    <row r="114" spans="1:24" ht="15" customHeight="1">
      <c r="A114" s="4" t="s">
        <v>263</v>
      </c>
      <c r="B114" s="4">
        <v>810100</v>
      </c>
      <c r="C114" s="4" t="s">
        <v>186</v>
      </c>
      <c r="D114" s="4" t="s">
        <v>187</v>
      </c>
      <c r="E114" s="4" t="s">
        <v>188</v>
      </c>
      <c r="F114" s="4">
        <v>211121633</v>
      </c>
      <c r="G114" s="6">
        <v>46237</v>
      </c>
      <c r="H114" s="6">
        <v>46237</v>
      </c>
      <c r="I114" s="32">
        <v>46268</v>
      </c>
      <c r="J114" s="1">
        <v>10</v>
      </c>
      <c r="K114" s="4">
        <v>500</v>
      </c>
      <c r="L114" s="4" t="s">
        <v>122</v>
      </c>
      <c r="M114" s="4" t="s">
        <v>123</v>
      </c>
      <c r="N114" s="6">
        <v>46237</v>
      </c>
      <c r="O114" s="1"/>
      <c r="P114" s="4">
        <v>23.28</v>
      </c>
      <c r="Q114" s="4">
        <v>23.28</v>
      </c>
      <c r="R114" s="4">
        <f>IF(
    OR(Dashboard_Query[[#This Row],[Monthly Allowance]]="",Dashboard_Query[[#This Row],[Current Usage]]=""),
    "",
    MAX(0,Dashboard_Query[[#This Row],[Monthly Allowance]]-Dashboard_Query[[#This Row],[Current Usage]])
)</f>
        <v>476.72</v>
      </c>
      <c r="S114" s="9">
        <f>IF(OR(Dashboard_Query[[#This Row],[Monthly Allowance]]="",Dashboard_Query[[#This Row],[Current Usage]]=""),"",Dashboard_Query[[#This Row],[Current Usage]]/Dashboard_Query[[#This Row],[Monthly Allowance]])</f>
        <v>4.6560000000000004E-2</v>
      </c>
      <c r="T114" s="9">
        <f>IF(Dashboard_Query[[#This Row],[% Used]]="","",1-Dashboard_Query[[#This Row],[% Used]])</f>
        <v>0.95343999999999995</v>
      </c>
      <c r="U114" s="4">
        <f>IF(OR(Dashboard_Query[[#This Row],[Monthly Allowance]]="",Dashboard_Query[[#This Row],[Current Usage]]=""),"",MAX(0,Dashboard_Query[[#This Row],[Current Usage]]-Dashboard_Query[[#This Row],[Monthly Allowance]]))</f>
        <v>0</v>
      </c>
      <c r="V114" s="4" t="str">
        <f>IF(Dashboard_Query[[#This Row],[Monthly Allowance]]="","",IF(Dashboard_Query[[#This Row],[Overage]]&gt;0,"OVER",IF(Dashboard_Query[[#This Row],[% Used]]&gt;=0.8,"WARNING","OK")))</f>
        <v>OK</v>
      </c>
      <c r="W114" s="1"/>
      <c r="X114" s="1"/>
    </row>
    <row r="115" spans="1:24">
      <c r="A115" s="4" t="s">
        <v>65</v>
      </c>
      <c r="B115" s="4">
        <v>816074</v>
      </c>
      <c r="C115" s="4" t="s">
        <v>472</v>
      </c>
      <c r="D115" s="4" t="s">
        <v>393</v>
      </c>
      <c r="E115" s="4" t="s">
        <v>128</v>
      </c>
      <c r="F115" s="4">
        <v>211122084</v>
      </c>
      <c r="G115" s="6">
        <v>46248</v>
      </c>
      <c r="H115" s="6">
        <v>46248</v>
      </c>
      <c r="I115" s="32">
        <v>46279</v>
      </c>
      <c r="J115" s="1">
        <v>21</v>
      </c>
      <c r="K115" s="4">
        <v>500</v>
      </c>
      <c r="L115" s="4" t="s">
        <v>122</v>
      </c>
      <c r="M115" s="4" t="s">
        <v>123</v>
      </c>
      <c r="N115" s="6">
        <v>46248</v>
      </c>
      <c r="O115" s="1"/>
      <c r="P115" s="4">
        <v>22.75</v>
      </c>
      <c r="Q115" s="4">
        <v>22.69</v>
      </c>
      <c r="R115" s="4">
        <f>IF(
    OR(Dashboard_Query[[#This Row],[Monthly Allowance]]="",Dashboard_Query[[#This Row],[Current Usage]]=""),
    "",
    MAX(0,Dashboard_Query[[#This Row],[Monthly Allowance]]-Dashboard_Query[[#This Row],[Current Usage]])
)</f>
        <v>477.31</v>
      </c>
      <c r="S115" s="9">
        <f>IF(OR(Dashboard_Query[[#This Row],[Monthly Allowance]]="",Dashboard_Query[[#This Row],[Current Usage]]=""),"",Dashboard_Query[[#This Row],[Current Usage]]/Dashboard_Query[[#This Row],[Monthly Allowance]])</f>
        <v>4.5380000000000004E-2</v>
      </c>
      <c r="T115" s="9">
        <f>IF(Dashboard_Query[[#This Row],[% Used]]="","",1-Dashboard_Query[[#This Row],[% Used]])</f>
        <v>0.95462000000000002</v>
      </c>
      <c r="U115" s="4">
        <f>IF(OR(Dashboard_Query[[#This Row],[Monthly Allowance]]="",Dashboard_Query[[#This Row],[Current Usage]]=""),"",MAX(0,Dashboard_Query[[#This Row],[Current Usage]]-Dashboard_Query[[#This Row],[Monthly Allowance]]))</f>
        <v>0</v>
      </c>
      <c r="V115" s="4" t="str">
        <f>IF(Dashboard_Query[[#This Row],[Monthly Allowance]]="","",IF(Dashboard_Query[[#This Row],[Overage]]&gt;0,"OVER",IF(Dashboard_Query[[#This Row],[% Used]]&gt;=0.8,"WARNING","OK")))</f>
        <v>OK</v>
      </c>
      <c r="W115" s="1"/>
      <c r="X115" s="1"/>
    </row>
    <row r="116" spans="1:24">
      <c r="A116" s="4" t="s">
        <v>167</v>
      </c>
      <c r="B116" s="4">
        <v>814441</v>
      </c>
      <c r="C116" s="4" t="s">
        <v>472</v>
      </c>
      <c r="D116" s="4" t="s">
        <v>393</v>
      </c>
      <c r="E116" s="4" t="s">
        <v>128</v>
      </c>
      <c r="F116" s="4">
        <v>211122084</v>
      </c>
      <c r="G116" s="6">
        <v>46248</v>
      </c>
      <c r="H116" s="6">
        <v>46248</v>
      </c>
      <c r="I116" s="32">
        <v>46279</v>
      </c>
      <c r="J116" s="1">
        <v>21</v>
      </c>
      <c r="K116" s="4">
        <v>500</v>
      </c>
      <c r="L116" s="4" t="s">
        <v>122</v>
      </c>
      <c r="M116" s="4" t="s">
        <v>123</v>
      </c>
      <c r="N116" s="6">
        <v>46248</v>
      </c>
      <c r="O116" s="1"/>
      <c r="P116" s="4">
        <v>125.74</v>
      </c>
      <c r="Q116" s="4">
        <v>22.5</v>
      </c>
      <c r="R116" s="4">
        <f>IF(
    OR(Dashboard_Query[[#This Row],[Monthly Allowance]]="",Dashboard_Query[[#This Row],[Current Usage]]=""),
    "",
    MAX(0,Dashboard_Query[[#This Row],[Monthly Allowance]]-Dashboard_Query[[#This Row],[Current Usage]])
)</f>
        <v>477.5</v>
      </c>
      <c r="S116" s="9">
        <f>IF(OR(Dashboard_Query[[#This Row],[Monthly Allowance]]="",Dashboard_Query[[#This Row],[Current Usage]]=""),"",Dashboard_Query[[#This Row],[Current Usage]]/Dashboard_Query[[#This Row],[Monthly Allowance]])</f>
        <v>4.4999999999999998E-2</v>
      </c>
      <c r="T116" s="9">
        <f>IF(Dashboard_Query[[#This Row],[% Used]]="","",1-Dashboard_Query[[#This Row],[% Used]])</f>
        <v>0.95499999999999996</v>
      </c>
      <c r="U116" s="4">
        <f>IF(OR(Dashboard_Query[[#This Row],[Monthly Allowance]]="",Dashboard_Query[[#This Row],[Current Usage]]=""),"",MAX(0,Dashboard_Query[[#This Row],[Current Usage]]-Dashboard_Query[[#This Row],[Monthly Allowance]]))</f>
        <v>0</v>
      </c>
      <c r="V116" s="4" t="str">
        <f>IF(Dashboard_Query[[#This Row],[Monthly Allowance]]="","",IF(Dashboard_Query[[#This Row],[Overage]]&gt;0,"OVER",IF(Dashboard_Query[[#This Row],[% Used]]&gt;=0.8,"WARNING","OK")))</f>
        <v>OK</v>
      </c>
      <c r="W116" s="1"/>
      <c r="X116" s="1"/>
    </row>
    <row r="117" spans="1:24" hidden="1">
      <c r="A117" s="4" t="s">
        <v>176</v>
      </c>
      <c r="B117" s="4">
        <v>814468</v>
      </c>
      <c r="C117" s="4"/>
      <c r="D117" s="4"/>
      <c r="E117" s="4"/>
      <c r="F117" s="4"/>
      <c r="G117" s="6"/>
      <c r="H117" s="6"/>
      <c r="I117" s="32"/>
      <c r="J117" s="1"/>
      <c r="K117" s="4">
        <v>500</v>
      </c>
      <c r="L117" s="4" t="s">
        <v>122</v>
      </c>
      <c r="M117" s="4" t="s">
        <v>35</v>
      </c>
      <c r="N117" s="6"/>
      <c r="O117" s="1"/>
      <c r="P117" s="4">
        <v>19.149999999999999</v>
      </c>
      <c r="Q117" s="4">
        <v>22.47</v>
      </c>
      <c r="R117" s="4">
        <f>IF(
    OR(Dashboard_Query[[#This Row],[Monthly Allowance]]="",Dashboard_Query[[#This Row],[Current Usage]]=""),
    "",
    MAX(0,Dashboard_Query[[#This Row],[Monthly Allowance]]-Dashboard_Query[[#This Row],[Current Usage]])
)</f>
        <v>477.53</v>
      </c>
      <c r="S117" s="9">
        <f>IF(OR(Dashboard_Query[[#This Row],[Monthly Allowance]]="",Dashboard_Query[[#This Row],[Current Usage]]=""),"",Dashboard_Query[[#This Row],[Current Usage]]/Dashboard_Query[[#This Row],[Monthly Allowance]])</f>
        <v>4.4940000000000001E-2</v>
      </c>
      <c r="T117" s="9">
        <f>IF(Dashboard_Query[[#This Row],[% Used]]="","",1-Dashboard_Query[[#This Row],[% Used]])</f>
        <v>0.95506000000000002</v>
      </c>
      <c r="U117" s="4">
        <f>IF(OR(Dashboard_Query[[#This Row],[Monthly Allowance]]="",Dashboard_Query[[#This Row],[Current Usage]]=""),"",MAX(0,Dashboard_Query[[#This Row],[Current Usage]]-Dashboard_Query[[#This Row],[Monthly Allowance]]))</f>
        <v>0</v>
      </c>
      <c r="V117" s="4" t="str">
        <f>IF(Dashboard_Query[[#This Row],[Monthly Allowance]]="","",IF(Dashboard_Query[[#This Row],[Overage]]&gt;0,"OVER",IF(Dashboard_Query[[#This Row],[% Used]]&gt;=0.8,"WARNING","OK")))</f>
        <v>OK</v>
      </c>
      <c r="W117" s="1"/>
      <c r="X117" s="1"/>
    </row>
    <row r="118" spans="1:24" hidden="1">
      <c r="A118" s="4" t="s">
        <v>217</v>
      </c>
      <c r="B118" s="4">
        <v>809873</v>
      </c>
      <c r="C118" s="4"/>
      <c r="D118" s="4"/>
      <c r="E118" s="4"/>
      <c r="F118" s="4"/>
      <c r="G118" s="6"/>
      <c r="H118" s="6"/>
      <c r="I118" s="32"/>
      <c r="J118" s="1"/>
      <c r="K118" s="4">
        <v>500</v>
      </c>
      <c r="L118" s="4" t="s">
        <v>122</v>
      </c>
      <c r="M118" s="4" t="s">
        <v>35</v>
      </c>
      <c r="N118" s="6"/>
      <c r="O118" s="1"/>
      <c r="P118" s="4">
        <v>18.440000000000001</v>
      </c>
      <c r="Q118" s="4">
        <v>21.910000000000004</v>
      </c>
      <c r="R118" s="4">
        <f>IF(
    OR(Dashboard_Query[[#This Row],[Monthly Allowance]]="",Dashboard_Query[[#This Row],[Current Usage]]=""),
    "",
    MAX(0,Dashboard_Query[[#This Row],[Monthly Allowance]]-Dashboard_Query[[#This Row],[Current Usage]])
)</f>
        <v>478.09</v>
      </c>
      <c r="S118" s="9">
        <f>IF(OR(Dashboard_Query[[#This Row],[Monthly Allowance]]="",Dashboard_Query[[#This Row],[Current Usage]]=""),"",Dashboard_Query[[#This Row],[Current Usage]]/Dashboard_Query[[#This Row],[Monthly Allowance]])</f>
        <v>4.3820000000000005E-2</v>
      </c>
      <c r="T118" s="9">
        <f>IF(Dashboard_Query[[#This Row],[% Used]]="","",1-Dashboard_Query[[#This Row],[% Used]])</f>
        <v>0.95618000000000003</v>
      </c>
      <c r="U118" s="4">
        <f>IF(OR(Dashboard_Query[[#This Row],[Monthly Allowance]]="",Dashboard_Query[[#This Row],[Current Usage]]=""),"",MAX(0,Dashboard_Query[[#This Row],[Current Usage]]-Dashboard_Query[[#This Row],[Monthly Allowance]]))</f>
        <v>0</v>
      </c>
      <c r="V118" s="4" t="str">
        <f>IF(Dashboard_Query[[#This Row],[Monthly Allowance]]="","",IF(Dashboard_Query[[#This Row],[Overage]]&gt;0,"OVER",IF(Dashboard_Query[[#This Row],[% Used]]&gt;=0.8,"WARNING","OK")))</f>
        <v>OK</v>
      </c>
      <c r="W118" s="1"/>
      <c r="X118" s="1"/>
    </row>
    <row r="119" spans="1:24">
      <c r="A119" s="4" t="s">
        <v>277</v>
      </c>
      <c r="B119" s="4">
        <v>812799</v>
      </c>
      <c r="C119" s="4" t="s">
        <v>173</v>
      </c>
      <c r="D119" s="4" t="s">
        <v>174</v>
      </c>
      <c r="E119" s="4" t="s">
        <v>175</v>
      </c>
      <c r="F119" s="4">
        <v>211120714</v>
      </c>
      <c r="G119" s="6">
        <v>46204</v>
      </c>
      <c r="H119" s="6">
        <v>46235</v>
      </c>
      <c r="I119" s="32">
        <v>46266</v>
      </c>
      <c r="J119" s="1">
        <v>8</v>
      </c>
      <c r="K119" s="4">
        <v>500</v>
      </c>
      <c r="L119" s="4" t="s">
        <v>122</v>
      </c>
      <c r="M119" s="4" t="s">
        <v>123</v>
      </c>
      <c r="N119" s="6">
        <v>46235</v>
      </c>
      <c r="O119" s="1"/>
      <c r="P119" s="4">
        <v>21.54</v>
      </c>
      <c r="Q119" s="4">
        <v>21.47</v>
      </c>
      <c r="R119" s="4">
        <f>IF(
    OR(Dashboard_Query[[#This Row],[Monthly Allowance]]="",Dashboard_Query[[#This Row],[Current Usage]]=""),
    "",
    MAX(0,Dashboard_Query[[#This Row],[Monthly Allowance]]-Dashboard_Query[[#This Row],[Current Usage]])
)</f>
        <v>478.53</v>
      </c>
      <c r="S119" s="9">
        <f>IF(OR(Dashboard_Query[[#This Row],[Monthly Allowance]]="",Dashboard_Query[[#This Row],[Current Usage]]=""),"",Dashboard_Query[[#This Row],[Current Usage]]/Dashboard_Query[[#This Row],[Monthly Allowance]])</f>
        <v>4.2939999999999999E-2</v>
      </c>
      <c r="T119" s="9">
        <f>IF(Dashboard_Query[[#This Row],[% Used]]="","",1-Dashboard_Query[[#This Row],[% Used]])</f>
        <v>0.95706000000000002</v>
      </c>
      <c r="U119" s="4">
        <f>IF(OR(Dashboard_Query[[#This Row],[Monthly Allowance]]="",Dashboard_Query[[#This Row],[Current Usage]]=""),"",MAX(0,Dashboard_Query[[#This Row],[Current Usage]]-Dashboard_Query[[#This Row],[Monthly Allowance]]))</f>
        <v>0</v>
      </c>
      <c r="V119" s="4" t="str">
        <f>IF(Dashboard_Query[[#This Row],[Monthly Allowance]]="","",IF(Dashboard_Query[[#This Row],[Overage]]&gt;0,"OVER",IF(Dashboard_Query[[#This Row],[% Used]]&gt;=0.8,"WARNING","OK")))</f>
        <v>OK</v>
      </c>
      <c r="W119" s="1"/>
      <c r="X119" s="1"/>
    </row>
    <row r="120" spans="1:24">
      <c r="A120" s="4" t="s">
        <v>326</v>
      </c>
      <c r="B120" s="4">
        <v>814463</v>
      </c>
      <c r="C120" s="4" t="s">
        <v>472</v>
      </c>
      <c r="D120" s="4" t="s">
        <v>393</v>
      </c>
      <c r="E120" s="4" t="s">
        <v>128</v>
      </c>
      <c r="F120" s="4">
        <v>211122084</v>
      </c>
      <c r="G120" s="6">
        <v>46248</v>
      </c>
      <c r="H120" s="6">
        <v>46248</v>
      </c>
      <c r="I120" s="32">
        <v>46279</v>
      </c>
      <c r="J120" s="1">
        <v>21</v>
      </c>
      <c r="K120" s="4">
        <v>500</v>
      </c>
      <c r="L120" s="4" t="s">
        <v>122</v>
      </c>
      <c r="M120" s="4" t="s">
        <v>123</v>
      </c>
      <c r="N120" s="6">
        <v>46248</v>
      </c>
      <c r="O120" s="1"/>
      <c r="P120" s="4">
        <v>21.04</v>
      </c>
      <c r="Q120" s="4">
        <v>21.04</v>
      </c>
      <c r="R120" s="4">
        <f>IF(
    OR(Dashboard_Query[[#This Row],[Monthly Allowance]]="",Dashboard_Query[[#This Row],[Current Usage]]=""),
    "",
    MAX(0,Dashboard_Query[[#This Row],[Monthly Allowance]]-Dashboard_Query[[#This Row],[Current Usage]])
)</f>
        <v>478.96</v>
      </c>
      <c r="S120" s="9">
        <f>IF(OR(Dashboard_Query[[#This Row],[Monthly Allowance]]="",Dashboard_Query[[#This Row],[Current Usage]]=""),"",Dashboard_Query[[#This Row],[Current Usage]]/Dashboard_Query[[#This Row],[Monthly Allowance]])</f>
        <v>4.2079999999999999E-2</v>
      </c>
      <c r="T120" s="9">
        <f>IF(Dashboard_Query[[#This Row],[% Used]]="","",1-Dashboard_Query[[#This Row],[% Used]])</f>
        <v>0.95791999999999999</v>
      </c>
      <c r="U120" s="4">
        <f>IF(OR(Dashboard_Query[[#This Row],[Monthly Allowance]]="",Dashboard_Query[[#This Row],[Current Usage]]=""),"",MAX(0,Dashboard_Query[[#This Row],[Current Usage]]-Dashboard_Query[[#This Row],[Monthly Allowance]]))</f>
        <v>0</v>
      </c>
      <c r="V120" s="4" t="str">
        <f>IF(Dashboard_Query[[#This Row],[Monthly Allowance]]="","",IF(Dashboard_Query[[#This Row],[Overage]]&gt;0,"OVER",IF(Dashboard_Query[[#This Row],[% Used]]&gt;=0.8,"WARNING","OK")))</f>
        <v>OK</v>
      </c>
      <c r="W120" s="1"/>
      <c r="X120" s="1"/>
    </row>
    <row r="121" spans="1:24">
      <c r="A121" s="4" t="s">
        <v>256</v>
      </c>
      <c r="B121" s="4">
        <v>812795</v>
      </c>
      <c r="C121" s="4" t="s">
        <v>237</v>
      </c>
      <c r="D121" s="4" t="s">
        <v>238</v>
      </c>
      <c r="E121" s="4" t="s">
        <v>239</v>
      </c>
      <c r="F121" s="4">
        <v>211120662</v>
      </c>
      <c r="G121" s="6">
        <v>46203</v>
      </c>
      <c r="H121" s="6">
        <v>46233</v>
      </c>
      <c r="I121" s="32">
        <v>46264</v>
      </c>
      <c r="J121" s="1">
        <v>6</v>
      </c>
      <c r="K121" s="4">
        <v>500</v>
      </c>
      <c r="L121" s="4" t="s">
        <v>122</v>
      </c>
      <c r="M121" s="4" t="s">
        <v>123</v>
      </c>
      <c r="N121" s="6">
        <v>46233</v>
      </c>
      <c r="O121" s="1"/>
      <c r="P121" s="4">
        <v>20.7</v>
      </c>
      <c r="Q121" s="4">
        <v>20.7</v>
      </c>
      <c r="R121" s="4">
        <f>IF(
    OR(Dashboard_Query[[#This Row],[Monthly Allowance]]="",Dashboard_Query[[#This Row],[Current Usage]]=""),
    "",
    MAX(0,Dashboard_Query[[#This Row],[Monthly Allowance]]-Dashboard_Query[[#This Row],[Current Usage]])
)</f>
        <v>479.3</v>
      </c>
      <c r="S121" s="9">
        <f>IF(OR(Dashboard_Query[[#This Row],[Monthly Allowance]]="",Dashboard_Query[[#This Row],[Current Usage]]=""),"",Dashboard_Query[[#This Row],[Current Usage]]/Dashboard_Query[[#This Row],[Monthly Allowance]])</f>
        <v>4.1399999999999999E-2</v>
      </c>
      <c r="T121" s="9">
        <f>IF(Dashboard_Query[[#This Row],[% Used]]="","",1-Dashboard_Query[[#This Row],[% Used]])</f>
        <v>0.95860000000000001</v>
      </c>
      <c r="U121" s="4">
        <f>IF(OR(Dashboard_Query[[#This Row],[Monthly Allowance]]="",Dashboard_Query[[#This Row],[Current Usage]]=""),"",MAX(0,Dashboard_Query[[#This Row],[Current Usage]]-Dashboard_Query[[#This Row],[Monthly Allowance]]))</f>
        <v>0</v>
      </c>
      <c r="V121" s="4" t="str">
        <f>IF(Dashboard_Query[[#This Row],[Monthly Allowance]]="","",IF(Dashboard_Query[[#This Row],[Overage]]&gt;0,"OVER",IF(Dashboard_Query[[#This Row],[% Used]]&gt;=0.8,"WARNING","OK")))</f>
        <v>OK</v>
      </c>
      <c r="W121" s="1"/>
      <c r="X121" s="1"/>
    </row>
    <row r="122" spans="1:24">
      <c r="A122" s="4" t="s">
        <v>116</v>
      </c>
      <c r="B122" s="4">
        <v>816075</v>
      </c>
      <c r="C122" s="4" t="s">
        <v>472</v>
      </c>
      <c r="D122" s="4" t="s">
        <v>393</v>
      </c>
      <c r="E122" s="4" t="s">
        <v>128</v>
      </c>
      <c r="F122" s="4">
        <v>211122084</v>
      </c>
      <c r="G122" s="6">
        <v>46248</v>
      </c>
      <c r="H122" s="6">
        <v>46248</v>
      </c>
      <c r="I122" s="32">
        <v>46279</v>
      </c>
      <c r="J122" s="1">
        <v>21</v>
      </c>
      <c r="K122" s="4">
        <v>500</v>
      </c>
      <c r="L122" s="4" t="s">
        <v>122</v>
      </c>
      <c r="M122" s="4" t="s">
        <v>123</v>
      </c>
      <c r="N122" s="6">
        <v>46248</v>
      </c>
      <c r="O122" s="1"/>
      <c r="P122" s="4">
        <v>19.89</v>
      </c>
      <c r="Q122" s="4">
        <v>19.89</v>
      </c>
      <c r="R122" s="4">
        <f>IF(
    OR(Dashboard_Query[[#This Row],[Monthly Allowance]]="",Dashboard_Query[[#This Row],[Current Usage]]=""),
    "",
    MAX(0,Dashboard_Query[[#This Row],[Monthly Allowance]]-Dashboard_Query[[#This Row],[Current Usage]])
)</f>
        <v>480.11</v>
      </c>
      <c r="S122" s="9">
        <f>IF(OR(Dashboard_Query[[#This Row],[Monthly Allowance]]="",Dashboard_Query[[#This Row],[Current Usage]]=""),"",Dashboard_Query[[#This Row],[Current Usage]]/Dashboard_Query[[#This Row],[Monthly Allowance]])</f>
        <v>3.9780000000000003E-2</v>
      </c>
      <c r="T122" s="9">
        <f>IF(Dashboard_Query[[#This Row],[% Used]]="","",1-Dashboard_Query[[#This Row],[% Used]])</f>
        <v>0.96021999999999996</v>
      </c>
      <c r="U122" s="4">
        <f>IF(OR(Dashboard_Query[[#This Row],[Monthly Allowance]]="",Dashboard_Query[[#This Row],[Current Usage]]=""),"",MAX(0,Dashboard_Query[[#This Row],[Current Usage]]-Dashboard_Query[[#This Row],[Monthly Allowance]]))</f>
        <v>0</v>
      </c>
      <c r="V122" s="4" t="str">
        <f>IF(Dashboard_Query[[#This Row],[Monthly Allowance]]="","",IF(Dashboard_Query[[#This Row],[Overage]]&gt;0,"OVER",IF(Dashboard_Query[[#This Row],[% Used]]&gt;=0.8,"WARNING","OK")))</f>
        <v>OK</v>
      </c>
      <c r="W122" s="1"/>
      <c r="X122" s="1"/>
    </row>
    <row r="123" spans="1:24">
      <c r="A123" s="4" t="s">
        <v>297</v>
      </c>
      <c r="B123" s="4">
        <v>810833</v>
      </c>
      <c r="C123" s="4" t="s">
        <v>388</v>
      </c>
      <c r="D123" s="4" t="s">
        <v>306</v>
      </c>
      <c r="E123" s="4" t="s">
        <v>389</v>
      </c>
      <c r="F123" s="4">
        <v>211121969</v>
      </c>
      <c r="G123" s="6">
        <v>46246</v>
      </c>
      <c r="H123" s="6">
        <v>46246</v>
      </c>
      <c r="I123" s="32">
        <v>46277</v>
      </c>
      <c r="J123" s="1">
        <v>19</v>
      </c>
      <c r="K123" s="4">
        <v>500</v>
      </c>
      <c r="L123" s="4" t="s">
        <v>122</v>
      </c>
      <c r="M123" s="4" t="s">
        <v>123</v>
      </c>
      <c r="N123" s="6">
        <v>46246</v>
      </c>
      <c r="O123" s="1"/>
      <c r="P123" s="4">
        <v>19.57</v>
      </c>
      <c r="Q123" s="4">
        <v>19.36</v>
      </c>
      <c r="R123" s="4">
        <f>IF(
    OR(Dashboard_Query[[#This Row],[Monthly Allowance]]="",Dashboard_Query[[#This Row],[Current Usage]]=""),
    "",
    MAX(0,Dashboard_Query[[#This Row],[Monthly Allowance]]-Dashboard_Query[[#This Row],[Current Usage]])
)</f>
        <v>480.64</v>
      </c>
      <c r="S123" s="9">
        <f>IF(OR(Dashboard_Query[[#This Row],[Monthly Allowance]]="",Dashboard_Query[[#This Row],[Current Usage]]=""),"",Dashboard_Query[[#This Row],[Current Usage]]/Dashboard_Query[[#This Row],[Monthly Allowance]])</f>
        <v>3.8719999999999997E-2</v>
      </c>
      <c r="T123" s="9">
        <f>IF(Dashboard_Query[[#This Row],[% Used]]="","",1-Dashboard_Query[[#This Row],[% Used]])</f>
        <v>0.96128000000000002</v>
      </c>
      <c r="U123" s="4">
        <f>IF(OR(Dashboard_Query[[#This Row],[Monthly Allowance]]="",Dashboard_Query[[#This Row],[Current Usage]]=""),"",MAX(0,Dashboard_Query[[#This Row],[Current Usage]]-Dashboard_Query[[#This Row],[Monthly Allowance]]))</f>
        <v>0</v>
      </c>
      <c r="V123" s="4" t="str">
        <f>IF(Dashboard_Query[[#This Row],[Monthly Allowance]]="","",IF(Dashboard_Query[[#This Row],[Overage]]&gt;0,"OVER",IF(Dashboard_Query[[#This Row],[% Used]]&gt;=0.8,"WARNING","OK")))</f>
        <v>OK</v>
      </c>
      <c r="W123" s="1"/>
      <c r="X123" s="1"/>
    </row>
    <row r="124" spans="1:24" ht="15" customHeight="1">
      <c r="A124" s="4" t="s">
        <v>189</v>
      </c>
      <c r="B124" s="4">
        <v>814480</v>
      </c>
      <c r="C124" s="4" t="s">
        <v>472</v>
      </c>
      <c r="D124" s="4" t="s">
        <v>393</v>
      </c>
      <c r="E124" s="4" t="s">
        <v>128</v>
      </c>
      <c r="F124" s="4">
        <v>211122084</v>
      </c>
      <c r="G124" s="6">
        <v>46248</v>
      </c>
      <c r="H124" s="6">
        <v>46248</v>
      </c>
      <c r="I124" s="32">
        <v>46279</v>
      </c>
      <c r="J124" s="1">
        <v>21</v>
      </c>
      <c r="K124" s="4">
        <v>500</v>
      </c>
      <c r="L124" s="4" t="s">
        <v>122</v>
      </c>
      <c r="M124" s="4" t="s">
        <v>123</v>
      </c>
      <c r="N124" s="6">
        <v>46248</v>
      </c>
      <c r="O124" s="1"/>
      <c r="P124" s="4">
        <v>22.03</v>
      </c>
      <c r="Q124" s="4">
        <v>19.270000000000003</v>
      </c>
      <c r="R124" s="4">
        <f>IF(
    OR(Dashboard_Query[[#This Row],[Monthly Allowance]]="",Dashboard_Query[[#This Row],[Current Usage]]=""),
    "",
    MAX(0,Dashboard_Query[[#This Row],[Monthly Allowance]]-Dashboard_Query[[#This Row],[Current Usage]])
)</f>
        <v>480.73</v>
      </c>
      <c r="S124" s="9">
        <f>IF(OR(Dashboard_Query[[#This Row],[Monthly Allowance]]="",Dashboard_Query[[#This Row],[Current Usage]]=""),"",Dashboard_Query[[#This Row],[Current Usage]]/Dashboard_Query[[#This Row],[Monthly Allowance]])</f>
        <v>3.8540000000000005E-2</v>
      </c>
      <c r="T124" s="9">
        <f>IF(Dashboard_Query[[#This Row],[% Used]]="","",1-Dashboard_Query[[#This Row],[% Used]])</f>
        <v>0.96145999999999998</v>
      </c>
      <c r="U124" s="4">
        <f>IF(OR(Dashboard_Query[[#This Row],[Monthly Allowance]]="",Dashboard_Query[[#This Row],[Current Usage]]=""),"",MAX(0,Dashboard_Query[[#This Row],[Current Usage]]-Dashboard_Query[[#This Row],[Monthly Allowance]]))</f>
        <v>0</v>
      </c>
      <c r="V124" s="4" t="str">
        <f>IF(Dashboard_Query[[#This Row],[Monthly Allowance]]="","",IF(Dashboard_Query[[#This Row],[Overage]]&gt;0,"OVER",IF(Dashboard_Query[[#This Row],[% Used]]&gt;=0.8,"WARNING","OK")))</f>
        <v>OK</v>
      </c>
      <c r="W124" s="1"/>
      <c r="X124" s="1"/>
    </row>
    <row r="125" spans="1:24">
      <c r="A125" s="4" t="s">
        <v>269</v>
      </c>
      <c r="B125" s="4">
        <v>810102</v>
      </c>
      <c r="C125" s="4" t="s">
        <v>229</v>
      </c>
      <c r="D125" s="4" t="s">
        <v>230</v>
      </c>
      <c r="E125" s="4" t="s">
        <v>231</v>
      </c>
      <c r="F125" s="4">
        <v>211121626</v>
      </c>
      <c r="G125" s="6">
        <v>46235</v>
      </c>
      <c r="H125" s="6">
        <v>46235</v>
      </c>
      <c r="I125" s="32">
        <v>46266</v>
      </c>
      <c r="J125" s="1">
        <v>8</v>
      </c>
      <c r="K125" s="4">
        <v>500</v>
      </c>
      <c r="L125" s="4" t="s">
        <v>122</v>
      </c>
      <c r="M125" s="4" t="s">
        <v>123</v>
      </c>
      <c r="N125" s="6">
        <v>46235</v>
      </c>
      <c r="O125" s="1"/>
      <c r="P125" s="4">
        <v>19.21</v>
      </c>
      <c r="Q125" s="4">
        <v>19.21</v>
      </c>
      <c r="R125" s="4">
        <f>IF(
    OR(Dashboard_Query[[#This Row],[Monthly Allowance]]="",Dashboard_Query[[#This Row],[Current Usage]]=""),
    "",
    MAX(0,Dashboard_Query[[#This Row],[Monthly Allowance]]-Dashboard_Query[[#This Row],[Current Usage]])
)</f>
        <v>480.79</v>
      </c>
      <c r="S125" s="9">
        <f>IF(OR(Dashboard_Query[[#This Row],[Monthly Allowance]]="",Dashboard_Query[[#This Row],[Current Usage]]=""),"",Dashboard_Query[[#This Row],[Current Usage]]/Dashboard_Query[[#This Row],[Monthly Allowance]])</f>
        <v>3.8420000000000003E-2</v>
      </c>
      <c r="T125" s="9">
        <f>IF(Dashboard_Query[[#This Row],[% Used]]="","",1-Dashboard_Query[[#This Row],[% Used]])</f>
        <v>0.96157999999999999</v>
      </c>
      <c r="U125" s="4">
        <f>IF(OR(Dashboard_Query[[#This Row],[Monthly Allowance]]="",Dashboard_Query[[#This Row],[Current Usage]]=""),"",MAX(0,Dashboard_Query[[#This Row],[Current Usage]]-Dashboard_Query[[#This Row],[Monthly Allowance]]))</f>
        <v>0</v>
      </c>
      <c r="V125" s="4" t="str">
        <f>IF(Dashboard_Query[[#This Row],[Monthly Allowance]]="","",IF(Dashboard_Query[[#This Row],[Overage]]&gt;0,"OVER",IF(Dashboard_Query[[#This Row],[% Used]]&gt;=0.8,"WARNING","OK")))</f>
        <v>OK</v>
      </c>
      <c r="W125" s="1"/>
      <c r="X125" s="1"/>
    </row>
    <row r="126" spans="1:24" hidden="1">
      <c r="A126" s="4" t="s">
        <v>209</v>
      </c>
      <c r="B126" s="4">
        <v>809613</v>
      </c>
      <c r="C126" s="4"/>
      <c r="D126" s="4"/>
      <c r="E126" s="4"/>
      <c r="F126" s="4"/>
      <c r="G126" s="6"/>
      <c r="H126" s="6"/>
      <c r="I126" s="32"/>
      <c r="J126" s="1"/>
      <c r="K126" s="4">
        <v>500</v>
      </c>
      <c r="L126" s="4" t="s">
        <v>122</v>
      </c>
      <c r="M126" s="4" t="s">
        <v>35</v>
      </c>
      <c r="N126" s="6"/>
      <c r="O126" s="1"/>
      <c r="P126" s="4">
        <v>0</v>
      </c>
      <c r="Q126" s="4">
        <v>19.010000000000002</v>
      </c>
      <c r="R126" s="4">
        <f>IF(
    OR(Dashboard_Query[[#This Row],[Monthly Allowance]]="",Dashboard_Query[[#This Row],[Current Usage]]=""),
    "",
    MAX(0,Dashboard_Query[[#This Row],[Monthly Allowance]]-Dashboard_Query[[#This Row],[Current Usage]])
)</f>
        <v>480.99</v>
      </c>
      <c r="S126" s="9">
        <f>IF(OR(Dashboard_Query[[#This Row],[Monthly Allowance]]="",Dashboard_Query[[#This Row],[Current Usage]]=""),"",Dashboard_Query[[#This Row],[Current Usage]]/Dashboard_Query[[#This Row],[Monthly Allowance]])</f>
        <v>3.8020000000000005E-2</v>
      </c>
      <c r="T126" s="9">
        <f>IF(Dashboard_Query[[#This Row],[% Used]]="","",1-Dashboard_Query[[#This Row],[% Used]])</f>
        <v>0.96197999999999995</v>
      </c>
      <c r="U126" s="4">
        <f>IF(OR(Dashboard_Query[[#This Row],[Monthly Allowance]]="",Dashboard_Query[[#This Row],[Current Usage]]=""),"",MAX(0,Dashboard_Query[[#This Row],[Current Usage]]-Dashboard_Query[[#This Row],[Monthly Allowance]]))</f>
        <v>0</v>
      </c>
      <c r="V126" s="4" t="str">
        <f>IF(Dashboard_Query[[#This Row],[Monthly Allowance]]="","",IF(Dashboard_Query[[#This Row],[Overage]]&gt;0,"OVER",IF(Dashboard_Query[[#This Row],[% Used]]&gt;=0.8,"WARNING","OK")))</f>
        <v>OK</v>
      </c>
      <c r="W126" s="1"/>
      <c r="X126" s="1"/>
    </row>
    <row r="127" spans="1:24">
      <c r="A127" s="4" t="s">
        <v>191</v>
      </c>
      <c r="B127" s="4">
        <v>812800</v>
      </c>
      <c r="C127" s="4" t="s">
        <v>472</v>
      </c>
      <c r="D127" s="4" t="s">
        <v>393</v>
      </c>
      <c r="E127" s="4" t="s">
        <v>128</v>
      </c>
      <c r="F127" s="4">
        <v>211122084</v>
      </c>
      <c r="G127" s="6">
        <v>46248</v>
      </c>
      <c r="H127" s="6">
        <v>46248</v>
      </c>
      <c r="I127" s="32">
        <v>46279</v>
      </c>
      <c r="J127" s="1">
        <v>21</v>
      </c>
      <c r="K127" s="4">
        <v>500</v>
      </c>
      <c r="L127" s="4" t="s">
        <v>122</v>
      </c>
      <c r="M127" s="4" t="s">
        <v>123</v>
      </c>
      <c r="N127" s="6">
        <v>46248</v>
      </c>
      <c r="O127" s="1"/>
      <c r="P127" s="4">
        <v>61.57</v>
      </c>
      <c r="Q127" s="4">
        <v>18.950000000000003</v>
      </c>
      <c r="R127" s="4">
        <f>IF(
    OR(Dashboard_Query[[#This Row],[Monthly Allowance]]="",Dashboard_Query[[#This Row],[Current Usage]]=""),
    "",
    MAX(0,Dashboard_Query[[#This Row],[Monthly Allowance]]-Dashboard_Query[[#This Row],[Current Usage]])
)</f>
        <v>481.05</v>
      </c>
      <c r="S127" s="9">
        <f>IF(OR(Dashboard_Query[[#This Row],[Monthly Allowance]]="",Dashboard_Query[[#This Row],[Current Usage]]=""),"",Dashboard_Query[[#This Row],[Current Usage]]/Dashboard_Query[[#This Row],[Monthly Allowance]])</f>
        <v>3.7900000000000003E-2</v>
      </c>
      <c r="T127" s="9">
        <f>IF(Dashboard_Query[[#This Row],[% Used]]="","",1-Dashboard_Query[[#This Row],[% Used]])</f>
        <v>0.96209999999999996</v>
      </c>
      <c r="U127" s="4">
        <f>IF(OR(Dashboard_Query[[#This Row],[Monthly Allowance]]="",Dashboard_Query[[#This Row],[Current Usage]]=""),"",MAX(0,Dashboard_Query[[#This Row],[Current Usage]]-Dashboard_Query[[#This Row],[Monthly Allowance]]))</f>
        <v>0</v>
      </c>
      <c r="V127" s="4" t="str">
        <f>IF(Dashboard_Query[[#This Row],[Monthly Allowance]]="","",IF(Dashboard_Query[[#This Row],[Overage]]&gt;0,"OVER",IF(Dashboard_Query[[#This Row],[% Used]]&gt;=0.8,"WARNING","OK")))</f>
        <v>OK</v>
      </c>
      <c r="W127" s="1"/>
      <c r="X127" s="1"/>
    </row>
    <row r="128" spans="1:24">
      <c r="A128" s="4" t="s">
        <v>124</v>
      </c>
      <c r="B128" s="4">
        <v>814459</v>
      </c>
      <c r="C128" s="4" t="s">
        <v>472</v>
      </c>
      <c r="D128" s="4" t="s">
        <v>393</v>
      </c>
      <c r="E128" s="4" t="s">
        <v>128</v>
      </c>
      <c r="F128" s="4">
        <v>211122084</v>
      </c>
      <c r="G128" s="6">
        <v>46248</v>
      </c>
      <c r="H128" s="6">
        <v>46248</v>
      </c>
      <c r="I128" s="32">
        <v>46279</v>
      </c>
      <c r="J128" s="1">
        <v>21</v>
      </c>
      <c r="K128" s="4">
        <v>500</v>
      </c>
      <c r="L128" s="4" t="s">
        <v>122</v>
      </c>
      <c r="M128" s="4" t="s">
        <v>123</v>
      </c>
      <c r="N128" s="6">
        <v>46248</v>
      </c>
      <c r="O128" s="1"/>
      <c r="P128" s="4">
        <v>772.19</v>
      </c>
      <c r="Q128" s="4">
        <v>18.460000000000036</v>
      </c>
      <c r="R128" s="4">
        <f>IF(
    OR(Dashboard_Query[[#This Row],[Monthly Allowance]]="",Dashboard_Query[[#This Row],[Current Usage]]=""),
    "",
    MAX(0,Dashboard_Query[[#This Row],[Monthly Allowance]]-Dashboard_Query[[#This Row],[Current Usage]])
)</f>
        <v>481.53999999999996</v>
      </c>
      <c r="S128" s="9">
        <f>IF(OR(Dashboard_Query[[#This Row],[Monthly Allowance]]="",Dashboard_Query[[#This Row],[Current Usage]]=""),"",Dashboard_Query[[#This Row],[Current Usage]]/Dashboard_Query[[#This Row],[Monthly Allowance]])</f>
        <v>3.6920000000000071E-2</v>
      </c>
      <c r="T128" s="9">
        <f>IF(Dashboard_Query[[#This Row],[% Used]]="","",1-Dashboard_Query[[#This Row],[% Used]])</f>
        <v>0.96307999999999994</v>
      </c>
      <c r="U128" s="4">
        <f>IF(OR(Dashboard_Query[[#This Row],[Monthly Allowance]]="",Dashboard_Query[[#This Row],[Current Usage]]=""),"",MAX(0,Dashboard_Query[[#This Row],[Current Usage]]-Dashboard_Query[[#This Row],[Monthly Allowance]]))</f>
        <v>0</v>
      </c>
      <c r="V128" s="4" t="str">
        <f>IF(Dashboard_Query[[#This Row],[Monthly Allowance]]="","",IF(Dashboard_Query[[#This Row],[Overage]]&gt;0,"OVER",IF(Dashboard_Query[[#This Row],[% Used]]&gt;=0.8,"WARNING","OK")))</f>
        <v>OK</v>
      </c>
      <c r="W128" s="1"/>
      <c r="X128" s="1"/>
    </row>
    <row r="129" spans="1:24" hidden="1">
      <c r="A129" s="4" t="s">
        <v>200</v>
      </c>
      <c r="B129" s="4">
        <v>812828</v>
      </c>
      <c r="C129" s="4"/>
      <c r="D129" s="4"/>
      <c r="E129" s="4"/>
      <c r="F129" s="4"/>
      <c r="G129" s="6"/>
      <c r="H129" s="6"/>
      <c r="I129" s="32"/>
      <c r="J129" s="1"/>
      <c r="K129" s="4">
        <v>500</v>
      </c>
      <c r="L129" s="4" t="s">
        <v>122</v>
      </c>
      <c r="M129" s="4" t="s">
        <v>35</v>
      </c>
      <c r="N129" s="6"/>
      <c r="O129" s="1"/>
      <c r="P129" s="4">
        <v>11.99</v>
      </c>
      <c r="Q129" s="4">
        <v>18.18</v>
      </c>
      <c r="R129" s="4">
        <f>IF(
    OR(Dashboard_Query[[#This Row],[Monthly Allowance]]="",Dashboard_Query[[#This Row],[Current Usage]]=""),
    "",
    MAX(0,Dashboard_Query[[#This Row],[Monthly Allowance]]-Dashboard_Query[[#This Row],[Current Usage]])
)</f>
        <v>481.82</v>
      </c>
      <c r="S129" s="9">
        <f>IF(OR(Dashboard_Query[[#This Row],[Monthly Allowance]]="",Dashboard_Query[[#This Row],[Current Usage]]=""),"",Dashboard_Query[[#This Row],[Current Usage]]/Dashboard_Query[[#This Row],[Monthly Allowance]])</f>
        <v>3.6359999999999996E-2</v>
      </c>
      <c r="T129" s="9">
        <f>IF(Dashboard_Query[[#This Row],[% Used]]="","",1-Dashboard_Query[[#This Row],[% Used]])</f>
        <v>0.96364000000000005</v>
      </c>
      <c r="U129" s="4">
        <f>IF(OR(Dashboard_Query[[#This Row],[Monthly Allowance]]="",Dashboard_Query[[#This Row],[Current Usage]]=""),"",MAX(0,Dashboard_Query[[#This Row],[Current Usage]]-Dashboard_Query[[#This Row],[Monthly Allowance]]))</f>
        <v>0</v>
      </c>
      <c r="V129" s="4" t="str">
        <f>IF(Dashboard_Query[[#This Row],[Monthly Allowance]]="","",IF(Dashboard_Query[[#This Row],[Overage]]&gt;0,"OVER",IF(Dashboard_Query[[#This Row],[% Used]]&gt;=0.8,"WARNING","OK")))</f>
        <v>OK</v>
      </c>
      <c r="W129" s="1"/>
      <c r="X129" s="1"/>
    </row>
    <row r="130" spans="1:24">
      <c r="A130" s="4" t="s">
        <v>268</v>
      </c>
      <c r="B130" s="4">
        <v>810097</v>
      </c>
      <c r="C130" s="4" t="s">
        <v>472</v>
      </c>
      <c r="D130" s="4" t="s">
        <v>393</v>
      </c>
      <c r="E130" s="4" t="s">
        <v>128</v>
      </c>
      <c r="F130" s="4">
        <v>211122084</v>
      </c>
      <c r="G130" s="6">
        <v>46248</v>
      </c>
      <c r="H130" s="6">
        <v>46248</v>
      </c>
      <c r="I130" s="32">
        <v>46279</v>
      </c>
      <c r="J130" s="1">
        <v>21</v>
      </c>
      <c r="K130" s="4">
        <v>500</v>
      </c>
      <c r="L130" s="4" t="s">
        <v>122</v>
      </c>
      <c r="M130" s="4" t="s">
        <v>123</v>
      </c>
      <c r="N130" s="6">
        <v>46248</v>
      </c>
      <c r="O130" s="1"/>
      <c r="P130" s="4">
        <v>17.579999999999998</v>
      </c>
      <c r="Q130" s="4">
        <v>17.579999999999998</v>
      </c>
      <c r="R130" s="4">
        <f>IF(
    OR(Dashboard_Query[[#This Row],[Monthly Allowance]]="",Dashboard_Query[[#This Row],[Current Usage]]=""),
    "",
    MAX(0,Dashboard_Query[[#This Row],[Monthly Allowance]]-Dashboard_Query[[#This Row],[Current Usage]])
)</f>
        <v>482.42</v>
      </c>
      <c r="S130" s="9">
        <f>IF(OR(Dashboard_Query[[#This Row],[Monthly Allowance]]="",Dashboard_Query[[#This Row],[Current Usage]]=""),"",Dashboard_Query[[#This Row],[Current Usage]]/Dashboard_Query[[#This Row],[Monthly Allowance]])</f>
        <v>3.5159999999999997E-2</v>
      </c>
      <c r="T130" s="9">
        <f>IF(Dashboard_Query[[#This Row],[% Used]]="","",1-Dashboard_Query[[#This Row],[% Used]])</f>
        <v>0.96484000000000003</v>
      </c>
      <c r="U130" s="4">
        <f>IF(OR(Dashboard_Query[[#This Row],[Monthly Allowance]]="",Dashboard_Query[[#This Row],[Current Usage]]=""),"",MAX(0,Dashboard_Query[[#This Row],[Current Usage]]-Dashboard_Query[[#This Row],[Monthly Allowance]]))</f>
        <v>0</v>
      </c>
      <c r="V130" s="4" t="str">
        <f>IF(Dashboard_Query[[#This Row],[Monthly Allowance]]="","",IF(Dashboard_Query[[#This Row],[Overage]]&gt;0,"OVER",IF(Dashboard_Query[[#This Row],[% Used]]&gt;=0.8,"WARNING","OK")))</f>
        <v>OK</v>
      </c>
      <c r="W130" s="1"/>
      <c r="X130" s="1"/>
    </row>
    <row r="131" spans="1:24">
      <c r="A131" s="4" t="s">
        <v>264</v>
      </c>
      <c r="B131" s="4">
        <v>814469</v>
      </c>
      <c r="C131" s="4" t="s">
        <v>392</v>
      </c>
      <c r="D131" s="4" t="s">
        <v>393</v>
      </c>
      <c r="E131" s="4" t="s">
        <v>394</v>
      </c>
      <c r="F131" s="4">
        <v>211122081</v>
      </c>
      <c r="G131" s="6">
        <v>46248</v>
      </c>
      <c r="H131" s="6">
        <v>46248</v>
      </c>
      <c r="I131" s="32">
        <v>46279</v>
      </c>
      <c r="J131" s="1">
        <v>21</v>
      </c>
      <c r="K131" s="4">
        <v>500</v>
      </c>
      <c r="L131" s="4" t="s">
        <v>122</v>
      </c>
      <c r="M131" s="4" t="s">
        <v>123</v>
      </c>
      <c r="N131" s="6">
        <v>46248</v>
      </c>
      <c r="O131" s="1"/>
      <c r="P131" s="4">
        <v>21.55</v>
      </c>
      <c r="Q131" s="4">
        <v>17.37</v>
      </c>
      <c r="R131" s="4">
        <f>IF(
    OR(Dashboard_Query[[#This Row],[Monthly Allowance]]="",Dashboard_Query[[#This Row],[Current Usage]]=""),
    "",
    MAX(0,Dashboard_Query[[#This Row],[Monthly Allowance]]-Dashboard_Query[[#This Row],[Current Usage]])
)</f>
        <v>482.63</v>
      </c>
      <c r="S131" s="9">
        <f>IF(OR(Dashboard_Query[[#This Row],[Monthly Allowance]]="",Dashboard_Query[[#This Row],[Current Usage]]=""),"",Dashboard_Query[[#This Row],[Current Usage]]/Dashboard_Query[[#This Row],[Monthly Allowance]])</f>
        <v>3.474E-2</v>
      </c>
      <c r="T131" s="9">
        <f>IF(Dashboard_Query[[#This Row],[% Used]]="","",1-Dashboard_Query[[#This Row],[% Used]])</f>
        <v>0.96526000000000001</v>
      </c>
      <c r="U131" s="4">
        <f>IF(OR(Dashboard_Query[[#This Row],[Monthly Allowance]]="",Dashboard_Query[[#This Row],[Current Usage]]=""),"",MAX(0,Dashboard_Query[[#This Row],[Current Usage]]-Dashboard_Query[[#This Row],[Monthly Allowance]]))</f>
        <v>0</v>
      </c>
      <c r="V131" s="4" t="str">
        <f>IF(Dashboard_Query[[#This Row],[Monthly Allowance]]="","",IF(Dashboard_Query[[#This Row],[Overage]]&gt;0,"OVER",IF(Dashboard_Query[[#This Row],[% Used]]&gt;=0.8,"WARNING","OK")))</f>
        <v>OK</v>
      </c>
      <c r="W131" s="1"/>
      <c r="X131" s="1"/>
    </row>
    <row r="132" spans="1:24">
      <c r="A132" s="4" t="s">
        <v>183</v>
      </c>
      <c r="B132" s="4">
        <v>814482</v>
      </c>
      <c r="C132" s="4" t="s">
        <v>472</v>
      </c>
      <c r="D132" s="4" t="s">
        <v>393</v>
      </c>
      <c r="E132" s="4" t="s">
        <v>128</v>
      </c>
      <c r="F132" s="4">
        <v>211122084</v>
      </c>
      <c r="G132" s="6">
        <v>46248</v>
      </c>
      <c r="H132" s="6">
        <v>46248</v>
      </c>
      <c r="I132" s="32">
        <v>46279</v>
      </c>
      <c r="J132" s="1">
        <v>21</v>
      </c>
      <c r="K132" s="4">
        <v>500</v>
      </c>
      <c r="L132" s="4" t="s">
        <v>122</v>
      </c>
      <c r="M132" s="4" t="s">
        <v>123</v>
      </c>
      <c r="N132" s="6">
        <v>46248</v>
      </c>
      <c r="O132" s="1"/>
      <c r="P132" s="4">
        <v>19.170000000000002</v>
      </c>
      <c r="Q132" s="4">
        <v>17.190000000000001</v>
      </c>
      <c r="R132" s="4">
        <f>IF(
    OR(Dashboard_Query[[#This Row],[Monthly Allowance]]="",Dashboard_Query[[#This Row],[Current Usage]]=""),
    "",
    MAX(0,Dashboard_Query[[#This Row],[Monthly Allowance]]-Dashboard_Query[[#This Row],[Current Usage]])
)</f>
        <v>482.81</v>
      </c>
      <c r="S132" s="9">
        <f>IF(OR(Dashboard_Query[[#This Row],[Monthly Allowance]]="",Dashboard_Query[[#This Row],[Current Usage]]=""),"",Dashboard_Query[[#This Row],[Current Usage]]/Dashboard_Query[[#This Row],[Monthly Allowance]])</f>
        <v>3.4380000000000001E-2</v>
      </c>
      <c r="T132" s="9">
        <f>IF(Dashboard_Query[[#This Row],[% Used]]="","",1-Dashboard_Query[[#This Row],[% Used]])</f>
        <v>0.96562000000000003</v>
      </c>
      <c r="U132" s="4">
        <f>IF(OR(Dashboard_Query[[#This Row],[Monthly Allowance]]="",Dashboard_Query[[#This Row],[Current Usage]]=""),"",MAX(0,Dashboard_Query[[#This Row],[Current Usage]]-Dashboard_Query[[#This Row],[Monthly Allowance]]))</f>
        <v>0</v>
      </c>
      <c r="V132" s="4" t="str">
        <f>IF(Dashboard_Query[[#This Row],[Monthly Allowance]]="","",IF(Dashboard_Query[[#This Row],[Overage]]&gt;0,"OVER",IF(Dashboard_Query[[#This Row],[% Used]]&gt;=0.8,"WARNING","OK")))</f>
        <v>OK</v>
      </c>
      <c r="W132" s="1"/>
      <c r="X132" s="1"/>
    </row>
    <row r="133" spans="1:24" hidden="1">
      <c r="A133" s="4" t="s">
        <v>359</v>
      </c>
      <c r="B133" s="4">
        <v>809610</v>
      </c>
      <c r="C133" s="4"/>
      <c r="D133" s="4"/>
      <c r="E133" s="4"/>
      <c r="F133" s="4"/>
      <c r="G133" s="6"/>
      <c r="H133" s="6"/>
      <c r="I133" s="32"/>
      <c r="J133" s="1"/>
      <c r="K133" s="4">
        <v>500</v>
      </c>
      <c r="L133" s="4" t="s">
        <v>122</v>
      </c>
      <c r="M133" s="4" t="s">
        <v>35</v>
      </c>
      <c r="N133" s="6"/>
      <c r="O133" s="1"/>
      <c r="P133" s="4">
        <v>17.07</v>
      </c>
      <c r="Q133" s="4">
        <v>17.07</v>
      </c>
      <c r="R133" s="4">
        <f>IF(
    OR(Dashboard_Query[[#This Row],[Monthly Allowance]]="",Dashboard_Query[[#This Row],[Current Usage]]=""),
    "",
    MAX(0,Dashboard_Query[[#This Row],[Monthly Allowance]]-Dashboard_Query[[#This Row],[Current Usage]])
)</f>
        <v>482.93</v>
      </c>
      <c r="S133" s="9">
        <f>IF(OR(Dashboard_Query[[#This Row],[Monthly Allowance]]="",Dashboard_Query[[#This Row],[Current Usage]]=""),"",Dashboard_Query[[#This Row],[Current Usage]]/Dashboard_Query[[#This Row],[Monthly Allowance]])</f>
        <v>3.4140000000000004E-2</v>
      </c>
      <c r="T133" s="9">
        <f>IF(Dashboard_Query[[#This Row],[% Used]]="","",1-Dashboard_Query[[#This Row],[% Used]])</f>
        <v>0.96585999999999994</v>
      </c>
      <c r="U133" s="4">
        <f>IF(OR(Dashboard_Query[[#This Row],[Monthly Allowance]]="",Dashboard_Query[[#This Row],[Current Usage]]=""),"",MAX(0,Dashboard_Query[[#This Row],[Current Usage]]-Dashboard_Query[[#This Row],[Monthly Allowance]]))</f>
        <v>0</v>
      </c>
      <c r="V133" s="4" t="str">
        <f>IF(Dashboard_Query[[#This Row],[Monthly Allowance]]="","",IF(Dashboard_Query[[#This Row],[Overage]]&gt;0,"OVER",IF(Dashboard_Query[[#This Row],[% Used]]&gt;=0.8,"WARNING","OK")))</f>
        <v>OK</v>
      </c>
      <c r="W133" s="1"/>
      <c r="X133" s="1"/>
    </row>
    <row r="134" spans="1:24">
      <c r="A134" s="4" t="s">
        <v>270</v>
      </c>
      <c r="B134" s="4">
        <v>810106</v>
      </c>
      <c r="C134" s="4" t="s">
        <v>392</v>
      </c>
      <c r="D134" s="4" t="s">
        <v>393</v>
      </c>
      <c r="E134" s="4" t="s">
        <v>394</v>
      </c>
      <c r="F134" s="4">
        <v>211122081</v>
      </c>
      <c r="G134" s="6">
        <v>46248</v>
      </c>
      <c r="H134" s="6">
        <v>46248</v>
      </c>
      <c r="I134" s="32">
        <v>46279</v>
      </c>
      <c r="J134" s="1">
        <v>21</v>
      </c>
      <c r="K134" s="4">
        <v>500</v>
      </c>
      <c r="L134" s="4" t="s">
        <v>122</v>
      </c>
      <c r="M134" s="4" t="s">
        <v>123</v>
      </c>
      <c r="N134" s="6">
        <v>46248</v>
      </c>
      <c r="O134" s="1"/>
      <c r="P134" s="4">
        <v>19.059999999999999</v>
      </c>
      <c r="Q134" s="4">
        <v>16.369999999999997</v>
      </c>
      <c r="R134" s="4">
        <f>IF(
    OR(Dashboard_Query[[#This Row],[Monthly Allowance]]="",Dashboard_Query[[#This Row],[Current Usage]]=""),
    "",
    MAX(0,Dashboard_Query[[#This Row],[Monthly Allowance]]-Dashboard_Query[[#This Row],[Current Usage]])
)</f>
        <v>483.63</v>
      </c>
      <c r="S134" s="9">
        <f>IF(OR(Dashboard_Query[[#This Row],[Monthly Allowance]]="",Dashboard_Query[[#This Row],[Current Usage]]=""),"",Dashboard_Query[[#This Row],[Current Usage]]/Dashboard_Query[[#This Row],[Monthly Allowance]])</f>
        <v>3.2739999999999998E-2</v>
      </c>
      <c r="T134" s="9">
        <f>IF(Dashboard_Query[[#This Row],[% Used]]="","",1-Dashboard_Query[[#This Row],[% Used]])</f>
        <v>0.96726000000000001</v>
      </c>
      <c r="U134" s="4">
        <f>IF(OR(Dashboard_Query[[#This Row],[Monthly Allowance]]="",Dashboard_Query[[#This Row],[Current Usage]]=""),"",MAX(0,Dashboard_Query[[#This Row],[Current Usage]]-Dashboard_Query[[#This Row],[Monthly Allowance]]))</f>
        <v>0</v>
      </c>
      <c r="V134" s="4" t="str">
        <f>IF(Dashboard_Query[[#This Row],[Monthly Allowance]]="","",IF(Dashboard_Query[[#This Row],[Overage]]&gt;0,"OVER",IF(Dashboard_Query[[#This Row],[% Used]]&gt;=0.8,"WARNING","OK")))</f>
        <v>OK</v>
      </c>
      <c r="W134" s="1"/>
      <c r="X134" s="1"/>
    </row>
    <row r="135" spans="1:24">
      <c r="A135" s="4" t="s">
        <v>252</v>
      </c>
      <c r="B135" s="4">
        <v>812821</v>
      </c>
      <c r="C135" s="4" t="s">
        <v>472</v>
      </c>
      <c r="D135" s="4" t="s">
        <v>393</v>
      </c>
      <c r="E135" s="4" t="s">
        <v>128</v>
      </c>
      <c r="F135" s="4">
        <v>211122084</v>
      </c>
      <c r="G135" s="6">
        <v>46248</v>
      </c>
      <c r="H135" s="6">
        <v>46248</v>
      </c>
      <c r="I135" s="32">
        <v>46279</v>
      </c>
      <c r="J135" s="1">
        <v>21</v>
      </c>
      <c r="K135" s="4">
        <v>500</v>
      </c>
      <c r="L135" s="4" t="s">
        <v>122</v>
      </c>
      <c r="M135" s="4" t="s">
        <v>123</v>
      </c>
      <c r="N135" s="6">
        <v>46248</v>
      </c>
      <c r="O135" s="1"/>
      <c r="P135" s="4">
        <v>66.06</v>
      </c>
      <c r="Q135" s="4">
        <v>14.850000000000001</v>
      </c>
      <c r="R135" s="4">
        <f>IF(
    OR(Dashboard_Query[[#This Row],[Monthly Allowance]]="",Dashboard_Query[[#This Row],[Current Usage]]=""),
    "",
    MAX(0,Dashboard_Query[[#This Row],[Monthly Allowance]]-Dashboard_Query[[#This Row],[Current Usage]])
)</f>
        <v>485.15</v>
      </c>
      <c r="S135" s="9">
        <f>IF(OR(Dashboard_Query[[#This Row],[Monthly Allowance]]="",Dashboard_Query[[#This Row],[Current Usage]]=""),"",Dashboard_Query[[#This Row],[Current Usage]]/Dashboard_Query[[#This Row],[Monthly Allowance]])</f>
        <v>2.9700000000000004E-2</v>
      </c>
      <c r="T135" s="9">
        <f>IF(Dashboard_Query[[#This Row],[% Used]]="","",1-Dashboard_Query[[#This Row],[% Used]])</f>
        <v>0.97029999999999994</v>
      </c>
      <c r="U135" s="4">
        <f>IF(OR(Dashboard_Query[[#This Row],[Monthly Allowance]]="",Dashboard_Query[[#This Row],[Current Usage]]=""),"",MAX(0,Dashboard_Query[[#This Row],[Current Usage]]-Dashboard_Query[[#This Row],[Monthly Allowance]]))</f>
        <v>0</v>
      </c>
      <c r="V135" s="4" t="str">
        <f>IF(Dashboard_Query[[#This Row],[Monthly Allowance]]="","",IF(Dashboard_Query[[#This Row],[Overage]]&gt;0,"OVER",IF(Dashboard_Query[[#This Row],[% Used]]&gt;=0.8,"WARNING","OK")))</f>
        <v>OK</v>
      </c>
      <c r="W135" s="1"/>
      <c r="X135" s="1"/>
    </row>
    <row r="136" spans="1:24">
      <c r="A136" s="4" t="s">
        <v>395</v>
      </c>
      <c r="B136" s="4">
        <v>816077</v>
      </c>
      <c r="C136" s="4" t="s">
        <v>472</v>
      </c>
      <c r="D136" s="4" t="s">
        <v>393</v>
      </c>
      <c r="E136" s="4" t="s">
        <v>128</v>
      </c>
      <c r="F136" s="4">
        <v>211122084</v>
      </c>
      <c r="G136" s="6">
        <v>46248</v>
      </c>
      <c r="H136" s="6">
        <v>46248</v>
      </c>
      <c r="I136" s="32">
        <v>46279</v>
      </c>
      <c r="J136" s="1">
        <v>21</v>
      </c>
      <c r="K136" s="4">
        <v>500</v>
      </c>
      <c r="L136" s="4" t="s">
        <v>122</v>
      </c>
      <c r="M136" s="4" t="s">
        <v>123</v>
      </c>
      <c r="N136" s="6">
        <v>46248</v>
      </c>
      <c r="O136" s="1"/>
      <c r="P136" s="4">
        <v>14.82</v>
      </c>
      <c r="Q136" s="4">
        <v>14.82</v>
      </c>
      <c r="R136" s="4">
        <f>IF(
    OR(Dashboard_Query[[#This Row],[Monthly Allowance]]="",Dashboard_Query[[#This Row],[Current Usage]]=""),
    "",
    MAX(0,Dashboard_Query[[#This Row],[Monthly Allowance]]-Dashboard_Query[[#This Row],[Current Usage]])
)</f>
        <v>485.18</v>
      </c>
      <c r="S136" s="9">
        <f>IF(OR(Dashboard_Query[[#This Row],[Monthly Allowance]]="",Dashboard_Query[[#This Row],[Current Usage]]=""),"",Dashboard_Query[[#This Row],[Current Usage]]/Dashboard_Query[[#This Row],[Monthly Allowance]])</f>
        <v>2.964E-2</v>
      </c>
      <c r="T136" s="9">
        <f>IF(Dashboard_Query[[#This Row],[% Used]]="","",1-Dashboard_Query[[#This Row],[% Used]])</f>
        <v>0.97036</v>
      </c>
      <c r="U136" s="4">
        <f>IF(OR(Dashboard_Query[[#This Row],[Monthly Allowance]]="",Dashboard_Query[[#This Row],[Current Usage]]=""),"",MAX(0,Dashboard_Query[[#This Row],[Current Usage]]-Dashboard_Query[[#This Row],[Monthly Allowance]]))</f>
        <v>0</v>
      </c>
      <c r="V136" s="4" t="str">
        <f>IF(Dashboard_Query[[#This Row],[Monthly Allowance]]="","",IF(Dashboard_Query[[#This Row],[Overage]]&gt;0,"OVER",IF(Dashboard_Query[[#This Row],[% Used]]&gt;=0.8,"WARNING","OK")))</f>
        <v>OK</v>
      </c>
      <c r="W136" s="1"/>
      <c r="X136" s="1"/>
    </row>
    <row r="137" spans="1:24">
      <c r="A137" s="4" t="s">
        <v>302</v>
      </c>
      <c r="B137" s="4">
        <v>809875</v>
      </c>
      <c r="C137" s="4" t="s">
        <v>472</v>
      </c>
      <c r="D137" s="4" t="s">
        <v>393</v>
      </c>
      <c r="E137" s="4" t="s">
        <v>128</v>
      </c>
      <c r="F137" s="4">
        <v>211122084</v>
      </c>
      <c r="G137" s="6">
        <v>46248</v>
      </c>
      <c r="H137" s="6">
        <v>46248</v>
      </c>
      <c r="I137" s="32">
        <v>46279</v>
      </c>
      <c r="J137" s="1">
        <v>21</v>
      </c>
      <c r="K137" s="4">
        <v>500</v>
      </c>
      <c r="L137" s="4" t="s">
        <v>122</v>
      </c>
      <c r="M137" s="4" t="s">
        <v>123</v>
      </c>
      <c r="N137" s="6">
        <v>46248</v>
      </c>
      <c r="O137" s="1"/>
      <c r="P137" s="4">
        <v>14.7</v>
      </c>
      <c r="Q137" s="4">
        <v>14.7</v>
      </c>
      <c r="R137" s="4">
        <f>IF(
    OR(Dashboard_Query[[#This Row],[Monthly Allowance]]="",Dashboard_Query[[#This Row],[Current Usage]]=""),
    "",
    MAX(0,Dashboard_Query[[#This Row],[Monthly Allowance]]-Dashboard_Query[[#This Row],[Current Usage]])
)</f>
        <v>485.3</v>
      </c>
      <c r="S137" s="9">
        <f>IF(OR(Dashboard_Query[[#This Row],[Monthly Allowance]]="",Dashboard_Query[[#This Row],[Current Usage]]=""),"",Dashboard_Query[[#This Row],[Current Usage]]/Dashboard_Query[[#This Row],[Monthly Allowance]])</f>
        <v>2.9399999999999999E-2</v>
      </c>
      <c r="T137" s="9">
        <f>IF(Dashboard_Query[[#This Row],[% Used]]="","",1-Dashboard_Query[[#This Row],[% Used]])</f>
        <v>0.97060000000000002</v>
      </c>
      <c r="U137" s="4">
        <f>IF(OR(Dashboard_Query[[#This Row],[Monthly Allowance]]="",Dashboard_Query[[#This Row],[Current Usage]]=""),"",MAX(0,Dashboard_Query[[#This Row],[Current Usage]]-Dashboard_Query[[#This Row],[Monthly Allowance]]))</f>
        <v>0</v>
      </c>
      <c r="V137" s="4" t="str">
        <f>IF(Dashboard_Query[[#This Row],[Monthly Allowance]]="","",IF(Dashboard_Query[[#This Row],[Overage]]&gt;0,"OVER",IF(Dashboard_Query[[#This Row],[% Used]]&gt;=0.8,"WARNING","OK")))</f>
        <v>OK</v>
      </c>
      <c r="W137" s="1"/>
      <c r="X137" s="1"/>
    </row>
    <row r="138" spans="1:24">
      <c r="A138" s="4" t="s">
        <v>288</v>
      </c>
      <c r="B138" s="4">
        <v>809662</v>
      </c>
      <c r="C138" s="4" t="s">
        <v>229</v>
      </c>
      <c r="D138" s="4" t="s">
        <v>230</v>
      </c>
      <c r="E138" s="4" t="s">
        <v>231</v>
      </c>
      <c r="F138" s="4">
        <v>211121626</v>
      </c>
      <c r="G138" s="6">
        <v>46235</v>
      </c>
      <c r="H138" s="6">
        <v>46235</v>
      </c>
      <c r="I138" s="32">
        <v>46266</v>
      </c>
      <c r="J138" s="1">
        <v>8</v>
      </c>
      <c r="K138" s="4">
        <v>500</v>
      </c>
      <c r="L138" s="4" t="s">
        <v>122</v>
      </c>
      <c r="M138" s="4" t="s">
        <v>123</v>
      </c>
      <c r="N138" s="6">
        <v>46235</v>
      </c>
      <c r="O138" s="1"/>
      <c r="P138" s="4">
        <v>14.46</v>
      </c>
      <c r="Q138" s="4">
        <v>14.46</v>
      </c>
      <c r="R138" s="4">
        <f>IF(
    OR(Dashboard_Query[[#This Row],[Monthly Allowance]]="",Dashboard_Query[[#This Row],[Current Usage]]=""),
    "",
    MAX(0,Dashboard_Query[[#This Row],[Monthly Allowance]]-Dashboard_Query[[#This Row],[Current Usage]])
)</f>
        <v>485.54</v>
      </c>
      <c r="S138" s="9">
        <f>IF(OR(Dashboard_Query[[#This Row],[Monthly Allowance]]="",Dashboard_Query[[#This Row],[Current Usage]]=""),"",Dashboard_Query[[#This Row],[Current Usage]]/Dashboard_Query[[#This Row],[Monthly Allowance]])</f>
        <v>2.8920000000000001E-2</v>
      </c>
      <c r="T138" s="9">
        <f>IF(Dashboard_Query[[#This Row],[% Used]]="","",1-Dashboard_Query[[#This Row],[% Used]])</f>
        <v>0.97107999999999994</v>
      </c>
      <c r="U138" s="4">
        <f>IF(OR(Dashboard_Query[[#This Row],[Monthly Allowance]]="",Dashboard_Query[[#This Row],[Current Usage]]=""),"",MAX(0,Dashboard_Query[[#This Row],[Current Usage]]-Dashboard_Query[[#This Row],[Monthly Allowance]]))</f>
        <v>0</v>
      </c>
      <c r="V138" s="4" t="str">
        <f>IF(Dashboard_Query[[#This Row],[Monthly Allowance]]="","",IF(Dashboard_Query[[#This Row],[Overage]]&gt;0,"OVER",IF(Dashboard_Query[[#This Row],[% Used]]&gt;=0.8,"WARNING","OK")))</f>
        <v>OK</v>
      </c>
      <c r="W138" s="1"/>
      <c r="X138" s="1"/>
    </row>
    <row r="139" spans="1:24">
      <c r="A139" s="4" t="s">
        <v>206</v>
      </c>
      <c r="B139" s="4">
        <v>809608</v>
      </c>
      <c r="C139" s="4" t="s">
        <v>472</v>
      </c>
      <c r="D139" s="4" t="s">
        <v>393</v>
      </c>
      <c r="E139" s="4" t="s">
        <v>128</v>
      </c>
      <c r="F139" s="4">
        <v>211122084</v>
      </c>
      <c r="G139" s="6">
        <v>46248</v>
      </c>
      <c r="H139" s="6">
        <v>46248</v>
      </c>
      <c r="I139" s="32">
        <v>46279</v>
      </c>
      <c r="J139" s="1">
        <v>21</v>
      </c>
      <c r="K139" s="4">
        <v>500</v>
      </c>
      <c r="L139" s="4" t="s">
        <v>122</v>
      </c>
      <c r="M139" s="4" t="s">
        <v>123</v>
      </c>
      <c r="N139" s="6">
        <v>46248</v>
      </c>
      <c r="O139" s="1"/>
      <c r="P139" s="4">
        <v>34.69</v>
      </c>
      <c r="Q139" s="4">
        <v>14.299999999999997</v>
      </c>
      <c r="R139" s="4">
        <f>IF(
    OR(Dashboard_Query[[#This Row],[Monthly Allowance]]="",Dashboard_Query[[#This Row],[Current Usage]]=""),
    "",
    MAX(0,Dashboard_Query[[#This Row],[Monthly Allowance]]-Dashboard_Query[[#This Row],[Current Usage]])
)</f>
        <v>485.7</v>
      </c>
      <c r="S139" s="9">
        <f>IF(OR(Dashboard_Query[[#This Row],[Monthly Allowance]]="",Dashboard_Query[[#This Row],[Current Usage]]=""),"",Dashboard_Query[[#This Row],[Current Usage]]/Dashboard_Query[[#This Row],[Monthly Allowance]])</f>
        <v>2.8599999999999993E-2</v>
      </c>
      <c r="T139" s="9">
        <f>IF(Dashboard_Query[[#This Row],[% Used]]="","",1-Dashboard_Query[[#This Row],[% Used]])</f>
        <v>0.97140000000000004</v>
      </c>
      <c r="U139" s="4">
        <f>IF(OR(Dashboard_Query[[#This Row],[Monthly Allowance]]="",Dashboard_Query[[#This Row],[Current Usage]]=""),"",MAX(0,Dashboard_Query[[#This Row],[Current Usage]]-Dashboard_Query[[#This Row],[Monthly Allowance]]))</f>
        <v>0</v>
      </c>
      <c r="V139" s="4" t="str">
        <f>IF(Dashboard_Query[[#This Row],[Monthly Allowance]]="","",IF(Dashboard_Query[[#This Row],[Overage]]&gt;0,"OVER",IF(Dashboard_Query[[#This Row],[% Used]]&gt;=0.8,"WARNING","OK")))</f>
        <v>OK</v>
      </c>
      <c r="W139" s="1"/>
      <c r="X139" s="1"/>
    </row>
    <row r="140" spans="1:24" ht="14.25" customHeight="1">
      <c r="A140" s="4" t="s">
        <v>156</v>
      </c>
      <c r="B140" s="4">
        <v>809609</v>
      </c>
      <c r="C140" s="4" t="s">
        <v>477</v>
      </c>
      <c r="D140" s="4" t="s">
        <v>478</v>
      </c>
      <c r="E140" s="4" t="s">
        <v>479</v>
      </c>
      <c r="F140" s="4">
        <v>211122269</v>
      </c>
      <c r="G140" s="6">
        <v>46253</v>
      </c>
      <c r="H140" s="6">
        <v>46253</v>
      </c>
      <c r="I140" s="32">
        <v>46284</v>
      </c>
      <c r="J140" s="1">
        <v>26</v>
      </c>
      <c r="K140" s="4">
        <v>500</v>
      </c>
      <c r="L140" s="4" t="s">
        <v>122</v>
      </c>
      <c r="M140" s="4" t="s">
        <v>123</v>
      </c>
      <c r="N140" s="6">
        <v>46253</v>
      </c>
      <c r="O140" s="1"/>
      <c r="P140" s="4">
        <v>103.2</v>
      </c>
      <c r="Q140" s="4">
        <v>13.799999999999997</v>
      </c>
      <c r="R140" s="4">
        <f>IF(
    OR(Dashboard_Query[[#This Row],[Monthly Allowance]]="",Dashboard_Query[[#This Row],[Current Usage]]=""),
    "",
    MAX(0,Dashboard_Query[[#This Row],[Monthly Allowance]]-Dashboard_Query[[#This Row],[Current Usage]])
)</f>
        <v>486.2</v>
      </c>
      <c r="S140" s="9">
        <f>IF(OR(Dashboard_Query[[#This Row],[Monthly Allowance]]="",Dashboard_Query[[#This Row],[Current Usage]]=""),"",Dashboard_Query[[#This Row],[Current Usage]]/Dashboard_Query[[#This Row],[Monthly Allowance]])</f>
        <v>2.7599999999999993E-2</v>
      </c>
      <c r="T140" s="9">
        <f>IF(Dashboard_Query[[#This Row],[% Used]]="","",1-Dashboard_Query[[#This Row],[% Used]])</f>
        <v>0.97240000000000004</v>
      </c>
      <c r="U140" s="4">
        <f>IF(OR(Dashboard_Query[[#This Row],[Monthly Allowance]]="",Dashboard_Query[[#This Row],[Current Usage]]=""),"",MAX(0,Dashboard_Query[[#This Row],[Current Usage]]-Dashboard_Query[[#This Row],[Monthly Allowance]]))</f>
        <v>0</v>
      </c>
      <c r="V140" s="4" t="str">
        <f>IF(Dashboard_Query[[#This Row],[Monthly Allowance]]="","",IF(Dashboard_Query[[#This Row],[Overage]]&gt;0,"OVER",IF(Dashboard_Query[[#This Row],[% Used]]&gt;=0.8,"WARNING","OK")))</f>
        <v>OK</v>
      </c>
      <c r="W140" s="1"/>
      <c r="X140" s="1"/>
    </row>
    <row r="141" spans="1:24">
      <c r="A141" s="4" t="s">
        <v>281</v>
      </c>
      <c r="B141" s="4">
        <v>810648</v>
      </c>
      <c r="C141" s="4" t="s">
        <v>130</v>
      </c>
      <c r="D141" s="4" t="s">
        <v>131</v>
      </c>
      <c r="E141" s="4" t="s">
        <v>132</v>
      </c>
      <c r="F141" s="4">
        <v>211121322</v>
      </c>
      <c r="G141" s="6">
        <v>46226</v>
      </c>
      <c r="H141" s="6">
        <v>46257</v>
      </c>
      <c r="I141" s="32">
        <v>46288</v>
      </c>
      <c r="J141" s="1">
        <v>30</v>
      </c>
      <c r="K141" s="4">
        <v>500</v>
      </c>
      <c r="L141" s="4" t="s">
        <v>122</v>
      </c>
      <c r="M141" s="4" t="s">
        <v>123</v>
      </c>
      <c r="N141" s="6">
        <v>46257</v>
      </c>
      <c r="O141" s="1"/>
      <c r="P141" s="4">
        <v>88.51</v>
      </c>
      <c r="Q141" s="4">
        <v>13.540000000000006</v>
      </c>
      <c r="R141" s="4">
        <f>IF(
    OR(Dashboard_Query[[#This Row],[Monthly Allowance]]="",Dashboard_Query[[#This Row],[Current Usage]]=""),
    "",
    MAX(0,Dashboard_Query[[#This Row],[Monthly Allowance]]-Dashboard_Query[[#This Row],[Current Usage]])
)</f>
        <v>486.46</v>
      </c>
      <c r="S141" s="9">
        <f>IF(OR(Dashboard_Query[[#This Row],[Monthly Allowance]]="",Dashboard_Query[[#This Row],[Current Usage]]=""),"",Dashboard_Query[[#This Row],[Current Usage]]/Dashboard_Query[[#This Row],[Monthly Allowance]])</f>
        <v>2.7080000000000014E-2</v>
      </c>
      <c r="T141" s="9">
        <f>IF(Dashboard_Query[[#This Row],[% Used]]="","",1-Dashboard_Query[[#This Row],[% Used]])</f>
        <v>0.97292000000000001</v>
      </c>
      <c r="U141" s="4">
        <f>IF(OR(Dashboard_Query[[#This Row],[Monthly Allowance]]="",Dashboard_Query[[#This Row],[Current Usage]]=""),"",MAX(0,Dashboard_Query[[#This Row],[Current Usage]]-Dashboard_Query[[#This Row],[Monthly Allowance]]))</f>
        <v>0</v>
      </c>
      <c r="V141" s="4" t="str">
        <f>IF(Dashboard_Query[[#This Row],[Monthly Allowance]]="","",IF(Dashboard_Query[[#This Row],[Overage]]&gt;0,"OVER",IF(Dashboard_Query[[#This Row],[% Used]]&gt;=0.8,"WARNING","OK")))</f>
        <v>OK</v>
      </c>
      <c r="W141" s="1"/>
      <c r="X141" s="1"/>
    </row>
    <row r="142" spans="1:24">
      <c r="A142" s="4" t="s">
        <v>197</v>
      </c>
      <c r="B142" s="4">
        <v>812846</v>
      </c>
      <c r="C142" s="4" t="s">
        <v>388</v>
      </c>
      <c r="D142" s="4" t="s">
        <v>306</v>
      </c>
      <c r="E142" s="4" t="s">
        <v>389</v>
      </c>
      <c r="F142" s="4">
        <v>211121969</v>
      </c>
      <c r="G142" s="6">
        <v>46246</v>
      </c>
      <c r="H142" s="6">
        <v>46246</v>
      </c>
      <c r="I142" s="32">
        <v>46277</v>
      </c>
      <c r="J142" s="1">
        <v>19</v>
      </c>
      <c r="K142" s="4">
        <v>500</v>
      </c>
      <c r="L142" s="4" t="s">
        <v>122</v>
      </c>
      <c r="M142" s="4" t="s">
        <v>123</v>
      </c>
      <c r="N142" s="6">
        <v>46246</v>
      </c>
      <c r="O142" s="1"/>
      <c r="P142" s="4">
        <v>13.2</v>
      </c>
      <c r="Q142" s="4">
        <v>13.149999999999999</v>
      </c>
      <c r="R142" s="4">
        <f>IF(
    OR(Dashboard_Query[[#This Row],[Monthly Allowance]]="",Dashboard_Query[[#This Row],[Current Usage]]=""),
    "",
    MAX(0,Dashboard_Query[[#This Row],[Monthly Allowance]]-Dashboard_Query[[#This Row],[Current Usage]])
)</f>
        <v>486.85</v>
      </c>
      <c r="S142" s="9">
        <f>IF(OR(Dashboard_Query[[#This Row],[Monthly Allowance]]="",Dashboard_Query[[#This Row],[Current Usage]]=""),"",Dashboard_Query[[#This Row],[Current Usage]]/Dashboard_Query[[#This Row],[Monthly Allowance]])</f>
        <v>2.6299999999999997E-2</v>
      </c>
      <c r="T142" s="9">
        <f>IF(Dashboard_Query[[#This Row],[% Used]]="","",1-Dashboard_Query[[#This Row],[% Used]])</f>
        <v>0.97370000000000001</v>
      </c>
      <c r="U142" s="4">
        <f>IF(OR(Dashboard_Query[[#This Row],[Monthly Allowance]]="",Dashboard_Query[[#This Row],[Current Usage]]=""),"",MAX(0,Dashboard_Query[[#This Row],[Current Usage]]-Dashboard_Query[[#This Row],[Monthly Allowance]]))</f>
        <v>0</v>
      </c>
      <c r="V142" s="4" t="str">
        <f>IF(Dashboard_Query[[#This Row],[Monthly Allowance]]="","",IF(Dashboard_Query[[#This Row],[Overage]]&gt;0,"OVER",IF(Dashboard_Query[[#This Row],[% Used]]&gt;=0.8,"WARNING","OK")))</f>
        <v>OK</v>
      </c>
      <c r="W142" s="1"/>
      <c r="X142" s="1"/>
    </row>
    <row r="143" spans="1:24" hidden="1">
      <c r="A143" s="4" t="s">
        <v>219</v>
      </c>
      <c r="B143" s="4">
        <v>814445</v>
      </c>
      <c r="C143" s="4"/>
      <c r="D143" s="4"/>
      <c r="E143" s="4"/>
      <c r="F143" s="4"/>
      <c r="G143" s="6"/>
      <c r="H143" s="6"/>
      <c r="I143" s="32"/>
      <c r="J143" s="1"/>
      <c r="K143" s="4">
        <v>500</v>
      </c>
      <c r="L143" s="4" t="s">
        <v>122</v>
      </c>
      <c r="M143" s="4" t="s">
        <v>35</v>
      </c>
      <c r="N143" s="6"/>
      <c r="O143" s="1"/>
      <c r="P143" s="4">
        <v>12.57</v>
      </c>
      <c r="Q143" s="4">
        <v>12.57</v>
      </c>
      <c r="R143" s="4">
        <f>IF(
    OR(Dashboard_Query[[#This Row],[Monthly Allowance]]="",Dashboard_Query[[#This Row],[Current Usage]]=""),
    "",
    MAX(0,Dashboard_Query[[#This Row],[Monthly Allowance]]-Dashboard_Query[[#This Row],[Current Usage]])
)</f>
        <v>487.43</v>
      </c>
      <c r="S143" s="9">
        <f>IF(OR(Dashboard_Query[[#This Row],[Monthly Allowance]]="",Dashboard_Query[[#This Row],[Current Usage]]=""),"",Dashboard_Query[[#This Row],[Current Usage]]/Dashboard_Query[[#This Row],[Monthly Allowance]])</f>
        <v>2.5139999999999999E-2</v>
      </c>
      <c r="T143" s="9">
        <f>IF(Dashboard_Query[[#This Row],[% Used]]="","",1-Dashboard_Query[[#This Row],[% Used]])</f>
        <v>0.97485999999999995</v>
      </c>
      <c r="U143" s="4">
        <f>IF(OR(Dashboard_Query[[#This Row],[Monthly Allowance]]="",Dashboard_Query[[#This Row],[Current Usage]]=""),"",MAX(0,Dashboard_Query[[#This Row],[Current Usage]]-Dashboard_Query[[#This Row],[Monthly Allowance]]))</f>
        <v>0</v>
      </c>
      <c r="V143" s="4" t="str">
        <f>IF(Dashboard_Query[[#This Row],[Monthly Allowance]]="","",IF(Dashboard_Query[[#This Row],[Overage]]&gt;0,"OVER",IF(Dashboard_Query[[#This Row],[% Used]]&gt;=0.8,"WARNING","OK")))</f>
        <v>OK</v>
      </c>
      <c r="W143" s="1"/>
      <c r="X143" s="1"/>
    </row>
    <row r="144" spans="1:24">
      <c r="A144" s="4" t="s">
        <v>178</v>
      </c>
      <c r="B144" s="4">
        <v>812826</v>
      </c>
      <c r="C144" s="4" t="s">
        <v>472</v>
      </c>
      <c r="D144" s="4" t="s">
        <v>393</v>
      </c>
      <c r="E144" s="4" t="s">
        <v>128</v>
      </c>
      <c r="F144" s="4">
        <v>211122084</v>
      </c>
      <c r="G144" s="6">
        <v>46248</v>
      </c>
      <c r="H144" s="6">
        <v>46248</v>
      </c>
      <c r="I144" s="32">
        <v>46279</v>
      </c>
      <c r="J144" s="1">
        <v>21</v>
      </c>
      <c r="K144" s="4">
        <v>500</v>
      </c>
      <c r="L144" s="4" t="s">
        <v>122</v>
      </c>
      <c r="M144" s="4" t="s">
        <v>123</v>
      </c>
      <c r="N144" s="6">
        <v>46248</v>
      </c>
      <c r="O144" s="1"/>
      <c r="P144" s="4">
        <v>67.2</v>
      </c>
      <c r="Q144" s="4">
        <v>12.450000000000003</v>
      </c>
      <c r="R144" s="4">
        <f>IF(
    OR(Dashboard_Query[[#This Row],[Monthly Allowance]]="",Dashboard_Query[[#This Row],[Current Usage]]=""),
    "",
    MAX(0,Dashboard_Query[[#This Row],[Monthly Allowance]]-Dashboard_Query[[#This Row],[Current Usage]])
)</f>
        <v>487.55</v>
      </c>
      <c r="S144" s="9">
        <f>IF(OR(Dashboard_Query[[#This Row],[Monthly Allowance]]="",Dashboard_Query[[#This Row],[Current Usage]]=""),"",Dashboard_Query[[#This Row],[Current Usage]]/Dashboard_Query[[#This Row],[Monthly Allowance]])</f>
        <v>2.4900000000000005E-2</v>
      </c>
      <c r="T144" s="9">
        <f>IF(Dashboard_Query[[#This Row],[% Used]]="","",1-Dashboard_Query[[#This Row],[% Used]])</f>
        <v>0.97509999999999997</v>
      </c>
      <c r="U144" s="4">
        <f>IF(OR(Dashboard_Query[[#This Row],[Monthly Allowance]]="",Dashboard_Query[[#This Row],[Current Usage]]=""),"",MAX(0,Dashboard_Query[[#This Row],[Current Usage]]-Dashboard_Query[[#This Row],[Monthly Allowance]]))</f>
        <v>0</v>
      </c>
      <c r="V144" s="4" t="str">
        <f>IF(Dashboard_Query[[#This Row],[Monthly Allowance]]="","",IF(Dashboard_Query[[#This Row],[Overage]]&gt;0,"OVER",IF(Dashboard_Query[[#This Row],[% Used]]&gt;=0.8,"WARNING","OK")))</f>
        <v>OK</v>
      </c>
      <c r="W144" s="1"/>
      <c r="X144" s="1"/>
    </row>
    <row r="145" spans="1:24">
      <c r="A145" s="4" t="s">
        <v>341</v>
      </c>
      <c r="B145" s="4">
        <v>812844</v>
      </c>
      <c r="C145" s="4" t="s">
        <v>392</v>
      </c>
      <c r="D145" s="4" t="s">
        <v>393</v>
      </c>
      <c r="E145" s="4" t="s">
        <v>394</v>
      </c>
      <c r="F145" s="4">
        <v>211122081</v>
      </c>
      <c r="G145" s="6">
        <v>46248</v>
      </c>
      <c r="H145" s="6">
        <v>46248</v>
      </c>
      <c r="I145" s="32">
        <v>46279</v>
      </c>
      <c r="J145" s="1">
        <v>21</v>
      </c>
      <c r="K145" s="4">
        <v>500</v>
      </c>
      <c r="L145" s="4" t="s">
        <v>122</v>
      </c>
      <c r="M145" s="4" t="s">
        <v>123</v>
      </c>
      <c r="N145" s="6">
        <v>46248</v>
      </c>
      <c r="O145" s="1"/>
      <c r="P145" s="4">
        <v>11.71</v>
      </c>
      <c r="Q145" s="4">
        <v>11.71</v>
      </c>
      <c r="R145" s="4">
        <f>IF(
    OR(Dashboard_Query[[#This Row],[Monthly Allowance]]="",Dashboard_Query[[#This Row],[Current Usage]]=""),
    "",
    MAX(0,Dashboard_Query[[#This Row],[Monthly Allowance]]-Dashboard_Query[[#This Row],[Current Usage]])
)</f>
        <v>488.29</v>
      </c>
      <c r="S145" s="9">
        <f>IF(OR(Dashboard_Query[[#This Row],[Monthly Allowance]]="",Dashboard_Query[[#This Row],[Current Usage]]=""),"",Dashboard_Query[[#This Row],[Current Usage]]/Dashboard_Query[[#This Row],[Monthly Allowance]])</f>
        <v>2.3420000000000003E-2</v>
      </c>
      <c r="T145" s="9">
        <f>IF(Dashboard_Query[[#This Row],[% Used]]="","",1-Dashboard_Query[[#This Row],[% Used]])</f>
        <v>0.97658</v>
      </c>
      <c r="U145" s="4">
        <f>IF(OR(Dashboard_Query[[#This Row],[Monthly Allowance]]="",Dashboard_Query[[#This Row],[Current Usage]]=""),"",MAX(0,Dashboard_Query[[#This Row],[Current Usage]]-Dashboard_Query[[#This Row],[Monthly Allowance]]))</f>
        <v>0</v>
      </c>
      <c r="V145" s="4" t="str">
        <f>IF(Dashboard_Query[[#This Row],[Monthly Allowance]]="","",IF(Dashboard_Query[[#This Row],[Overage]]&gt;0,"OVER",IF(Dashboard_Query[[#This Row],[% Used]]&gt;=0.8,"WARNING","OK")))</f>
        <v>OK</v>
      </c>
      <c r="W145" s="1"/>
      <c r="X145" s="1"/>
    </row>
    <row r="146" spans="1:24">
      <c r="A146" s="4" t="s">
        <v>291</v>
      </c>
      <c r="B146" s="4">
        <v>812831</v>
      </c>
      <c r="C146" s="4" t="s">
        <v>388</v>
      </c>
      <c r="D146" s="4" t="s">
        <v>306</v>
      </c>
      <c r="E146" s="4" t="s">
        <v>389</v>
      </c>
      <c r="F146" s="4">
        <v>211121969</v>
      </c>
      <c r="G146" s="6">
        <v>46246</v>
      </c>
      <c r="H146" s="6">
        <v>46246</v>
      </c>
      <c r="I146" s="32">
        <v>46277</v>
      </c>
      <c r="J146" s="1">
        <v>19</v>
      </c>
      <c r="K146" s="4">
        <v>500</v>
      </c>
      <c r="L146" s="4" t="s">
        <v>122</v>
      </c>
      <c r="M146" s="4" t="s">
        <v>123</v>
      </c>
      <c r="N146" s="6">
        <v>46246</v>
      </c>
      <c r="O146" s="1"/>
      <c r="P146" s="4">
        <v>11.15</v>
      </c>
      <c r="Q146" s="4">
        <v>11.120000000000001</v>
      </c>
      <c r="R146" s="4">
        <f>IF(
    OR(Dashboard_Query[[#This Row],[Monthly Allowance]]="",Dashboard_Query[[#This Row],[Current Usage]]=""),
    "",
    MAX(0,Dashboard_Query[[#This Row],[Monthly Allowance]]-Dashboard_Query[[#This Row],[Current Usage]])
)</f>
        <v>488.88</v>
      </c>
      <c r="S146" s="9">
        <f>IF(OR(Dashboard_Query[[#This Row],[Monthly Allowance]]="",Dashboard_Query[[#This Row],[Current Usage]]=""),"",Dashboard_Query[[#This Row],[Current Usage]]/Dashboard_Query[[#This Row],[Monthly Allowance]])</f>
        <v>2.2240000000000003E-2</v>
      </c>
      <c r="T146" s="9">
        <f>IF(Dashboard_Query[[#This Row],[% Used]]="","",1-Dashboard_Query[[#This Row],[% Used]])</f>
        <v>0.97775999999999996</v>
      </c>
      <c r="U146" s="4">
        <f>IF(OR(Dashboard_Query[[#This Row],[Monthly Allowance]]="",Dashboard_Query[[#This Row],[Current Usage]]=""),"",MAX(0,Dashboard_Query[[#This Row],[Current Usage]]-Dashboard_Query[[#This Row],[Monthly Allowance]]))</f>
        <v>0</v>
      </c>
      <c r="V146" s="4" t="str">
        <f>IF(Dashboard_Query[[#This Row],[Monthly Allowance]]="","",IF(Dashboard_Query[[#This Row],[Overage]]&gt;0,"OVER",IF(Dashboard_Query[[#This Row],[% Used]]&gt;=0.8,"WARNING","OK")))</f>
        <v>OK</v>
      </c>
      <c r="W146" s="1"/>
      <c r="X146" s="1"/>
    </row>
    <row r="147" spans="1:24">
      <c r="A147" s="4" t="s">
        <v>198</v>
      </c>
      <c r="B147" s="4">
        <v>812834</v>
      </c>
      <c r="C147" s="4" t="s">
        <v>472</v>
      </c>
      <c r="D147" s="4" t="s">
        <v>393</v>
      </c>
      <c r="E147" s="4" t="s">
        <v>128</v>
      </c>
      <c r="F147" s="4">
        <v>211122084</v>
      </c>
      <c r="G147" s="6">
        <v>46248</v>
      </c>
      <c r="H147" s="6">
        <v>46248</v>
      </c>
      <c r="I147" s="32">
        <v>46279</v>
      </c>
      <c r="J147" s="1">
        <v>21</v>
      </c>
      <c r="K147" s="4">
        <v>500</v>
      </c>
      <c r="L147" s="4" t="s">
        <v>122</v>
      </c>
      <c r="M147" s="4" t="s">
        <v>123</v>
      </c>
      <c r="N147" s="6">
        <v>46248</v>
      </c>
      <c r="O147" s="1"/>
      <c r="P147" s="4">
        <v>39.909999999999997</v>
      </c>
      <c r="Q147" s="4">
        <v>10.949999999999996</v>
      </c>
      <c r="R147" s="4">
        <f>IF(
    OR(Dashboard_Query[[#This Row],[Monthly Allowance]]="",Dashboard_Query[[#This Row],[Current Usage]]=""),
    "",
    MAX(0,Dashboard_Query[[#This Row],[Monthly Allowance]]-Dashboard_Query[[#This Row],[Current Usage]])
)</f>
        <v>489.05</v>
      </c>
      <c r="S147" s="9">
        <f>IF(OR(Dashboard_Query[[#This Row],[Monthly Allowance]]="",Dashboard_Query[[#This Row],[Current Usage]]=""),"",Dashboard_Query[[#This Row],[Current Usage]]/Dashboard_Query[[#This Row],[Monthly Allowance]])</f>
        <v>2.1899999999999992E-2</v>
      </c>
      <c r="T147" s="9">
        <f>IF(Dashboard_Query[[#This Row],[% Used]]="","",1-Dashboard_Query[[#This Row],[% Used]])</f>
        <v>0.97809999999999997</v>
      </c>
      <c r="U147" s="4">
        <f>IF(OR(Dashboard_Query[[#This Row],[Monthly Allowance]]="",Dashboard_Query[[#This Row],[Current Usage]]=""),"",MAX(0,Dashboard_Query[[#This Row],[Current Usage]]-Dashboard_Query[[#This Row],[Monthly Allowance]]))</f>
        <v>0</v>
      </c>
      <c r="V147" s="4" t="str">
        <f>IF(Dashboard_Query[[#This Row],[Monthly Allowance]]="","",IF(Dashboard_Query[[#This Row],[Overage]]&gt;0,"OVER",IF(Dashboard_Query[[#This Row],[% Used]]&gt;=0.8,"WARNING","OK")))</f>
        <v>OK</v>
      </c>
      <c r="W147" s="1"/>
      <c r="X147" s="1"/>
    </row>
    <row r="148" spans="1:24">
      <c r="A148" s="4" t="s">
        <v>265</v>
      </c>
      <c r="B148" s="4">
        <v>809868</v>
      </c>
      <c r="C148" s="4" t="s">
        <v>388</v>
      </c>
      <c r="D148" s="4" t="s">
        <v>306</v>
      </c>
      <c r="E148" s="4" t="s">
        <v>389</v>
      </c>
      <c r="F148" s="4">
        <v>211121969</v>
      </c>
      <c r="G148" s="6">
        <v>46246</v>
      </c>
      <c r="H148" s="6">
        <v>46246</v>
      </c>
      <c r="I148" s="32">
        <v>46277</v>
      </c>
      <c r="J148" s="1">
        <v>19</v>
      </c>
      <c r="K148" s="4">
        <v>500</v>
      </c>
      <c r="L148" s="4" t="s">
        <v>122</v>
      </c>
      <c r="M148" s="4" t="s">
        <v>123</v>
      </c>
      <c r="N148" s="6">
        <v>46246</v>
      </c>
      <c r="O148" s="1"/>
      <c r="P148" s="4">
        <v>14.44</v>
      </c>
      <c r="Q148" s="4">
        <v>10.58</v>
      </c>
      <c r="R148" s="4">
        <f>IF(
    OR(Dashboard_Query[[#This Row],[Monthly Allowance]]="",Dashboard_Query[[#This Row],[Current Usage]]=""),
    "",
    MAX(0,Dashboard_Query[[#This Row],[Monthly Allowance]]-Dashboard_Query[[#This Row],[Current Usage]])
)</f>
        <v>489.42</v>
      </c>
      <c r="S148" s="9">
        <f>IF(OR(Dashboard_Query[[#This Row],[Monthly Allowance]]="",Dashboard_Query[[#This Row],[Current Usage]]=""),"",Dashboard_Query[[#This Row],[Current Usage]]/Dashboard_Query[[#This Row],[Monthly Allowance]])</f>
        <v>2.1160000000000002E-2</v>
      </c>
      <c r="T148" s="9">
        <f>IF(Dashboard_Query[[#This Row],[% Used]]="","",1-Dashboard_Query[[#This Row],[% Used]])</f>
        <v>0.97884000000000004</v>
      </c>
      <c r="U148" s="4">
        <f>IF(OR(Dashboard_Query[[#This Row],[Monthly Allowance]]="",Dashboard_Query[[#This Row],[Current Usage]]=""),"",MAX(0,Dashboard_Query[[#This Row],[Current Usage]]-Dashboard_Query[[#This Row],[Monthly Allowance]]))</f>
        <v>0</v>
      </c>
      <c r="V148" s="4" t="str">
        <f>IF(Dashboard_Query[[#This Row],[Monthly Allowance]]="","",IF(Dashboard_Query[[#This Row],[Overage]]&gt;0,"OVER",IF(Dashboard_Query[[#This Row],[% Used]]&gt;=0.8,"WARNING","OK")))</f>
        <v>OK</v>
      </c>
      <c r="W148" s="1"/>
      <c r="X148" s="1"/>
    </row>
    <row r="149" spans="1:24">
      <c r="A149" s="4" t="s">
        <v>101</v>
      </c>
      <c r="B149" s="4">
        <v>816080</v>
      </c>
      <c r="C149" s="4" t="s">
        <v>472</v>
      </c>
      <c r="D149" s="4" t="s">
        <v>393</v>
      </c>
      <c r="E149" s="4" t="s">
        <v>128</v>
      </c>
      <c r="F149" s="4">
        <v>211122084</v>
      </c>
      <c r="G149" s="6">
        <v>46248</v>
      </c>
      <c r="H149" s="6">
        <v>46248</v>
      </c>
      <c r="I149" s="32">
        <v>46279</v>
      </c>
      <c r="J149" s="1">
        <v>21</v>
      </c>
      <c r="K149" s="4">
        <v>500</v>
      </c>
      <c r="L149" s="4" t="s">
        <v>122</v>
      </c>
      <c r="M149" s="4" t="s">
        <v>123</v>
      </c>
      <c r="N149" s="6">
        <v>46248</v>
      </c>
      <c r="O149" s="1"/>
      <c r="P149" s="4">
        <v>10.71</v>
      </c>
      <c r="Q149" s="4">
        <v>10.58</v>
      </c>
      <c r="R149" s="4">
        <f>IF(
    OR(Dashboard_Query[[#This Row],[Monthly Allowance]]="",Dashboard_Query[[#This Row],[Current Usage]]=""),
    "",
    MAX(0,Dashboard_Query[[#This Row],[Monthly Allowance]]-Dashboard_Query[[#This Row],[Current Usage]])
)</f>
        <v>489.42</v>
      </c>
      <c r="S149" s="9">
        <f>IF(OR(Dashboard_Query[[#This Row],[Monthly Allowance]]="",Dashboard_Query[[#This Row],[Current Usage]]=""),"",Dashboard_Query[[#This Row],[Current Usage]]/Dashboard_Query[[#This Row],[Monthly Allowance]])</f>
        <v>2.1160000000000002E-2</v>
      </c>
      <c r="T149" s="9">
        <f>IF(Dashboard_Query[[#This Row],[% Used]]="","",1-Dashboard_Query[[#This Row],[% Used]])</f>
        <v>0.97884000000000004</v>
      </c>
      <c r="U149" s="4">
        <f>IF(OR(Dashboard_Query[[#This Row],[Monthly Allowance]]="",Dashboard_Query[[#This Row],[Current Usage]]=""),"",MAX(0,Dashboard_Query[[#This Row],[Current Usage]]-Dashboard_Query[[#This Row],[Monthly Allowance]]))</f>
        <v>0</v>
      </c>
      <c r="V149" s="4" t="str">
        <f>IF(Dashboard_Query[[#This Row],[Monthly Allowance]]="","",IF(Dashboard_Query[[#This Row],[Overage]]&gt;0,"OVER",IF(Dashboard_Query[[#This Row],[% Used]]&gt;=0.8,"WARNING","OK")))</f>
        <v>OK</v>
      </c>
      <c r="W149" s="1"/>
      <c r="X149" s="1"/>
    </row>
    <row r="150" spans="1:24">
      <c r="A150" s="4" t="s">
        <v>192</v>
      </c>
      <c r="B150" s="4">
        <v>814453</v>
      </c>
      <c r="C150" s="4" t="s">
        <v>472</v>
      </c>
      <c r="D150" s="4" t="s">
        <v>393</v>
      </c>
      <c r="E150" s="4" t="s">
        <v>128</v>
      </c>
      <c r="F150" s="4">
        <v>211122084</v>
      </c>
      <c r="G150" s="6">
        <v>46248</v>
      </c>
      <c r="H150" s="6">
        <v>46248</v>
      </c>
      <c r="I150" s="32">
        <v>46279</v>
      </c>
      <c r="J150" s="1">
        <v>21</v>
      </c>
      <c r="K150" s="4">
        <v>500</v>
      </c>
      <c r="L150" s="4" t="s">
        <v>122</v>
      </c>
      <c r="M150" s="4" t="s">
        <v>123</v>
      </c>
      <c r="N150" s="6">
        <v>46248</v>
      </c>
      <c r="O150" s="1"/>
      <c r="P150" s="4">
        <v>84.98</v>
      </c>
      <c r="Q150" s="4">
        <v>10.560000000000002</v>
      </c>
      <c r="R150" s="4">
        <f>IF(
    OR(Dashboard_Query[[#This Row],[Monthly Allowance]]="",Dashboard_Query[[#This Row],[Current Usage]]=""),
    "",
    MAX(0,Dashboard_Query[[#This Row],[Monthly Allowance]]-Dashboard_Query[[#This Row],[Current Usage]])
)</f>
        <v>489.44</v>
      </c>
      <c r="S150" s="9">
        <f>IF(OR(Dashboard_Query[[#This Row],[Monthly Allowance]]="",Dashboard_Query[[#This Row],[Current Usage]]=""),"",Dashboard_Query[[#This Row],[Current Usage]]/Dashboard_Query[[#This Row],[Monthly Allowance]])</f>
        <v>2.1120000000000003E-2</v>
      </c>
      <c r="T150" s="9">
        <f>IF(Dashboard_Query[[#This Row],[% Used]]="","",1-Dashboard_Query[[#This Row],[% Used]])</f>
        <v>0.97887999999999997</v>
      </c>
      <c r="U150" s="4">
        <f>IF(OR(Dashboard_Query[[#This Row],[Monthly Allowance]]="",Dashboard_Query[[#This Row],[Current Usage]]=""),"",MAX(0,Dashboard_Query[[#This Row],[Current Usage]]-Dashboard_Query[[#This Row],[Monthly Allowance]]))</f>
        <v>0</v>
      </c>
      <c r="V150" s="4" t="str">
        <f>IF(Dashboard_Query[[#This Row],[Monthly Allowance]]="","",IF(Dashboard_Query[[#This Row],[Overage]]&gt;0,"OVER",IF(Dashboard_Query[[#This Row],[% Used]]&gt;=0.8,"WARNING","OK")))</f>
        <v>OK</v>
      </c>
      <c r="W150" s="1"/>
      <c r="X150" s="1"/>
    </row>
    <row r="151" spans="1:24">
      <c r="A151" s="4" t="s">
        <v>159</v>
      </c>
      <c r="B151" s="4">
        <v>814475</v>
      </c>
      <c r="C151" s="4" t="s">
        <v>472</v>
      </c>
      <c r="D151" s="4" t="s">
        <v>393</v>
      </c>
      <c r="E151" s="4" t="s">
        <v>128</v>
      </c>
      <c r="F151" s="4">
        <v>211122084</v>
      </c>
      <c r="G151" s="6">
        <v>46248</v>
      </c>
      <c r="H151" s="6">
        <v>46248</v>
      </c>
      <c r="I151" s="32">
        <v>46279</v>
      </c>
      <c r="J151" s="1">
        <v>21</v>
      </c>
      <c r="K151" s="4">
        <v>500</v>
      </c>
      <c r="L151" s="4" t="s">
        <v>122</v>
      </c>
      <c r="M151" s="4" t="s">
        <v>123</v>
      </c>
      <c r="N151" s="6">
        <v>46248</v>
      </c>
      <c r="O151" s="1"/>
      <c r="P151" s="4">
        <v>26.27</v>
      </c>
      <c r="Q151" s="4">
        <v>10.52</v>
      </c>
      <c r="R151" s="4">
        <f>IF(
    OR(Dashboard_Query[[#This Row],[Monthly Allowance]]="",Dashboard_Query[[#This Row],[Current Usage]]=""),
    "",
    MAX(0,Dashboard_Query[[#This Row],[Monthly Allowance]]-Dashboard_Query[[#This Row],[Current Usage]])
)</f>
        <v>489.48</v>
      </c>
      <c r="S151" s="9">
        <f>IF(OR(Dashboard_Query[[#This Row],[Monthly Allowance]]="",Dashboard_Query[[#This Row],[Current Usage]]=""),"",Dashboard_Query[[#This Row],[Current Usage]]/Dashboard_Query[[#This Row],[Monthly Allowance]])</f>
        <v>2.104E-2</v>
      </c>
      <c r="T151" s="9">
        <f>IF(Dashboard_Query[[#This Row],[% Used]]="","",1-Dashboard_Query[[#This Row],[% Used]])</f>
        <v>0.97896000000000005</v>
      </c>
      <c r="U151" s="4">
        <f>IF(OR(Dashboard_Query[[#This Row],[Monthly Allowance]]="",Dashboard_Query[[#This Row],[Current Usage]]=""),"",MAX(0,Dashboard_Query[[#This Row],[Current Usage]]-Dashboard_Query[[#This Row],[Monthly Allowance]]))</f>
        <v>0</v>
      </c>
      <c r="V151" s="4" t="str">
        <f>IF(Dashboard_Query[[#This Row],[Monthly Allowance]]="","",IF(Dashboard_Query[[#This Row],[Overage]]&gt;0,"OVER",IF(Dashboard_Query[[#This Row],[% Used]]&gt;=0.8,"WARNING","OK")))</f>
        <v>OK</v>
      </c>
      <c r="W151" s="1"/>
      <c r="X151" s="1"/>
    </row>
    <row r="152" spans="1:24">
      <c r="A152" s="4" t="s">
        <v>276</v>
      </c>
      <c r="B152" s="4">
        <v>814472</v>
      </c>
      <c r="C152" s="4" t="s">
        <v>472</v>
      </c>
      <c r="D152" s="4" t="s">
        <v>393</v>
      </c>
      <c r="E152" s="4" t="s">
        <v>128</v>
      </c>
      <c r="F152" s="4">
        <v>211122084</v>
      </c>
      <c r="G152" s="6">
        <v>46248</v>
      </c>
      <c r="H152" s="6">
        <v>46248</v>
      </c>
      <c r="I152" s="32">
        <v>46279</v>
      </c>
      <c r="J152" s="1">
        <v>21</v>
      </c>
      <c r="K152" s="4">
        <v>500</v>
      </c>
      <c r="L152" s="4" t="s">
        <v>122</v>
      </c>
      <c r="M152" s="4" t="s">
        <v>123</v>
      </c>
      <c r="N152" s="6">
        <v>46248</v>
      </c>
      <c r="O152" s="1"/>
      <c r="P152" s="4">
        <v>25.65</v>
      </c>
      <c r="Q152" s="4">
        <v>10.119999999999999</v>
      </c>
      <c r="R152" s="4">
        <f>IF(
    OR(Dashboard_Query[[#This Row],[Monthly Allowance]]="",Dashboard_Query[[#This Row],[Current Usage]]=""),
    "",
    MAX(0,Dashboard_Query[[#This Row],[Monthly Allowance]]-Dashboard_Query[[#This Row],[Current Usage]])
)</f>
        <v>489.88</v>
      </c>
      <c r="S152" s="9">
        <f>IF(OR(Dashboard_Query[[#This Row],[Monthly Allowance]]="",Dashboard_Query[[#This Row],[Current Usage]]=""),"",Dashboard_Query[[#This Row],[Current Usage]]/Dashboard_Query[[#This Row],[Monthly Allowance]])</f>
        <v>2.0239999999999998E-2</v>
      </c>
      <c r="T152" s="9">
        <f>IF(Dashboard_Query[[#This Row],[% Used]]="","",1-Dashboard_Query[[#This Row],[% Used]])</f>
        <v>0.97975999999999996</v>
      </c>
      <c r="U152" s="4">
        <f>IF(OR(Dashboard_Query[[#This Row],[Monthly Allowance]]="",Dashboard_Query[[#This Row],[Current Usage]]=""),"",MAX(0,Dashboard_Query[[#This Row],[Current Usage]]-Dashboard_Query[[#This Row],[Monthly Allowance]]))</f>
        <v>0</v>
      </c>
      <c r="V152" s="4" t="str">
        <f>IF(Dashboard_Query[[#This Row],[Monthly Allowance]]="","",IF(Dashboard_Query[[#This Row],[Overage]]&gt;0,"OVER",IF(Dashboard_Query[[#This Row],[% Used]]&gt;=0.8,"WARNING","OK")))</f>
        <v>OK</v>
      </c>
      <c r="W152" s="1"/>
      <c r="X152" s="1"/>
    </row>
    <row r="153" spans="1:24">
      <c r="A153" s="4" t="s">
        <v>164</v>
      </c>
      <c r="B153" s="4">
        <v>810103</v>
      </c>
      <c r="C153" s="4" t="s">
        <v>472</v>
      </c>
      <c r="D153" s="4" t="s">
        <v>393</v>
      </c>
      <c r="E153" s="4" t="s">
        <v>128</v>
      </c>
      <c r="F153" s="4">
        <v>211122084</v>
      </c>
      <c r="G153" s="6">
        <v>46248</v>
      </c>
      <c r="H153" s="6">
        <v>46248</v>
      </c>
      <c r="I153" s="32">
        <v>46279</v>
      </c>
      <c r="J153" s="1">
        <v>21</v>
      </c>
      <c r="K153" s="4">
        <v>500</v>
      </c>
      <c r="L153" s="4" t="s">
        <v>122</v>
      </c>
      <c r="M153" s="4" t="s">
        <v>123</v>
      </c>
      <c r="N153" s="6">
        <v>46248</v>
      </c>
      <c r="O153" s="1"/>
      <c r="P153" s="4">
        <v>95.99</v>
      </c>
      <c r="Q153" s="4">
        <v>9.9399999999999977</v>
      </c>
      <c r="R153" s="4">
        <f>IF(
    OR(Dashboard_Query[[#This Row],[Monthly Allowance]]="",Dashboard_Query[[#This Row],[Current Usage]]=""),
    "",
    MAX(0,Dashboard_Query[[#This Row],[Monthly Allowance]]-Dashboard_Query[[#This Row],[Current Usage]])
)</f>
        <v>490.06</v>
      </c>
      <c r="S153" s="9">
        <f>IF(OR(Dashboard_Query[[#This Row],[Monthly Allowance]]="",Dashboard_Query[[#This Row],[Current Usage]]=""),"",Dashboard_Query[[#This Row],[Current Usage]]/Dashboard_Query[[#This Row],[Monthly Allowance]])</f>
        <v>1.9879999999999995E-2</v>
      </c>
      <c r="T153" s="9">
        <f>IF(Dashboard_Query[[#This Row],[% Used]]="","",1-Dashboard_Query[[#This Row],[% Used]])</f>
        <v>0.98011999999999999</v>
      </c>
      <c r="U153" s="4">
        <f>IF(OR(Dashboard_Query[[#This Row],[Monthly Allowance]]="",Dashboard_Query[[#This Row],[Current Usage]]=""),"",MAX(0,Dashboard_Query[[#This Row],[Current Usage]]-Dashboard_Query[[#This Row],[Monthly Allowance]]))</f>
        <v>0</v>
      </c>
      <c r="V153" s="4" t="str">
        <f>IF(Dashboard_Query[[#This Row],[Monthly Allowance]]="","",IF(Dashboard_Query[[#This Row],[Overage]]&gt;0,"OVER",IF(Dashboard_Query[[#This Row],[% Used]]&gt;=0.8,"WARNING","OK")))</f>
        <v>OK</v>
      </c>
      <c r="W153" s="1"/>
      <c r="X153" s="1"/>
    </row>
    <row r="154" spans="1:24">
      <c r="A154" s="4" t="s">
        <v>260</v>
      </c>
      <c r="B154" s="4">
        <v>810651</v>
      </c>
      <c r="C154" s="4" t="s">
        <v>392</v>
      </c>
      <c r="D154" s="4" t="s">
        <v>393</v>
      </c>
      <c r="E154" s="4" t="s">
        <v>394</v>
      </c>
      <c r="F154" s="4">
        <v>211122081</v>
      </c>
      <c r="G154" s="6">
        <v>46248</v>
      </c>
      <c r="H154" s="6">
        <v>46248</v>
      </c>
      <c r="I154" s="32">
        <v>46279</v>
      </c>
      <c r="J154" s="1">
        <v>21</v>
      </c>
      <c r="K154" s="4">
        <v>500</v>
      </c>
      <c r="L154" s="4" t="s">
        <v>122</v>
      </c>
      <c r="M154" s="4" t="s">
        <v>123</v>
      </c>
      <c r="N154" s="6">
        <v>46248</v>
      </c>
      <c r="O154" s="1"/>
      <c r="P154" s="4">
        <v>15.65</v>
      </c>
      <c r="Q154" s="4">
        <v>9.5500000000000007</v>
      </c>
      <c r="R154" s="4">
        <f>IF(
    OR(Dashboard_Query[[#This Row],[Monthly Allowance]]="",Dashboard_Query[[#This Row],[Current Usage]]=""),
    "",
    MAX(0,Dashboard_Query[[#This Row],[Monthly Allowance]]-Dashboard_Query[[#This Row],[Current Usage]])
)</f>
        <v>490.45</v>
      </c>
      <c r="S154" s="9">
        <f>IF(OR(Dashboard_Query[[#This Row],[Monthly Allowance]]="",Dashboard_Query[[#This Row],[Current Usage]]=""),"",Dashboard_Query[[#This Row],[Current Usage]]/Dashboard_Query[[#This Row],[Monthly Allowance]])</f>
        <v>1.9100000000000002E-2</v>
      </c>
      <c r="T154" s="9">
        <f>IF(Dashboard_Query[[#This Row],[% Used]]="","",1-Dashboard_Query[[#This Row],[% Used]])</f>
        <v>0.98089999999999999</v>
      </c>
      <c r="U154" s="4">
        <f>IF(OR(Dashboard_Query[[#This Row],[Monthly Allowance]]="",Dashboard_Query[[#This Row],[Current Usage]]=""),"",MAX(0,Dashboard_Query[[#This Row],[Current Usage]]-Dashboard_Query[[#This Row],[Monthly Allowance]]))</f>
        <v>0</v>
      </c>
      <c r="V154" s="4" t="str">
        <f>IF(Dashboard_Query[[#This Row],[Monthly Allowance]]="","",IF(Dashboard_Query[[#This Row],[Overage]]&gt;0,"OVER",IF(Dashboard_Query[[#This Row],[% Used]]&gt;=0.8,"WARNING","OK")))</f>
        <v>OK</v>
      </c>
      <c r="W154" s="1"/>
      <c r="X154" s="1"/>
    </row>
    <row r="155" spans="1:24">
      <c r="A155" s="4" t="s">
        <v>251</v>
      </c>
      <c r="B155" s="4">
        <v>812836</v>
      </c>
      <c r="C155" s="4" t="s">
        <v>173</v>
      </c>
      <c r="D155" s="4" t="s">
        <v>174</v>
      </c>
      <c r="E155" s="4" t="s">
        <v>175</v>
      </c>
      <c r="F155" s="4">
        <v>211120714</v>
      </c>
      <c r="G155" s="6">
        <v>46204</v>
      </c>
      <c r="H155" s="6">
        <v>46235</v>
      </c>
      <c r="I155" s="32">
        <v>46266</v>
      </c>
      <c r="J155" s="1">
        <v>8</v>
      </c>
      <c r="K155" s="4">
        <v>500</v>
      </c>
      <c r="L155" s="4" t="s">
        <v>122</v>
      </c>
      <c r="M155" s="4" t="s">
        <v>123</v>
      </c>
      <c r="N155" s="6">
        <v>46235</v>
      </c>
      <c r="O155" s="1"/>
      <c r="P155" s="4">
        <v>10.42</v>
      </c>
      <c r="Q155" s="4">
        <v>9.35</v>
      </c>
      <c r="R155" s="4">
        <f>IF(
    OR(Dashboard_Query[[#This Row],[Monthly Allowance]]="",Dashboard_Query[[#This Row],[Current Usage]]=""),
    "",
    MAX(0,Dashboard_Query[[#This Row],[Monthly Allowance]]-Dashboard_Query[[#This Row],[Current Usage]])
)</f>
        <v>490.65</v>
      </c>
      <c r="S155" s="9">
        <f>IF(OR(Dashboard_Query[[#This Row],[Monthly Allowance]]="",Dashboard_Query[[#This Row],[Current Usage]]=""),"",Dashboard_Query[[#This Row],[Current Usage]]/Dashboard_Query[[#This Row],[Monthly Allowance]])</f>
        <v>1.8699999999999998E-2</v>
      </c>
      <c r="T155" s="9">
        <f>IF(Dashboard_Query[[#This Row],[% Used]]="","",1-Dashboard_Query[[#This Row],[% Used]])</f>
        <v>0.98129999999999995</v>
      </c>
      <c r="U155" s="4">
        <f>IF(OR(Dashboard_Query[[#This Row],[Monthly Allowance]]="",Dashboard_Query[[#This Row],[Current Usage]]=""),"",MAX(0,Dashboard_Query[[#This Row],[Current Usage]]-Dashboard_Query[[#This Row],[Monthly Allowance]]))</f>
        <v>0</v>
      </c>
      <c r="V155" s="4" t="str">
        <f>IF(Dashboard_Query[[#This Row],[Monthly Allowance]]="","",IF(Dashboard_Query[[#This Row],[Overage]]&gt;0,"OVER",IF(Dashboard_Query[[#This Row],[% Used]]&gt;=0.8,"WARNING","OK")))</f>
        <v>OK</v>
      </c>
      <c r="W155" s="1"/>
      <c r="X155" s="1"/>
    </row>
    <row r="156" spans="1:24">
      <c r="A156" s="4" t="s">
        <v>271</v>
      </c>
      <c r="B156" s="4">
        <v>810647</v>
      </c>
      <c r="C156" s="4" t="s">
        <v>186</v>
      </c>
      <c r="D156" s="4" t="s">
        <v>187</v>
      </c>
      <c r="E156" s="4" t="s">
        <v>188</v>
      </c>
      <c r="F156" s="4">
        <v>211121633</v>
      </c>
      <c r="G156" s="6">
        <v>46237</v>
      </c>
      <c r="H156" s="6">
        <v>46237</v>
      </c>
      <c r="I156" s="32">
        <v>46268</v>
      </c>
      <c r="J156" s="1">
        <v>10</v>
      </c>
      <c r="K156" s="4">
        <v>500</v>
      </c>
      <c r="L156" s="4" t="s">
        <v>122</v>
      </c>
      <c r="M156" s="4" t="s">
        <v>123</v>
      </c>
      <c r="N156" s="6">
        <v>46237</v>
      </c>
      <c r="O156" s="1"/>
      <c r="P156" s="4">
        <v>9.18</v>
      </c>
      <c r="Q156" s="4">
        <v>9.18</v>
      </c>
      <c r="R156" s="4">
        <f>IF(
    OR(Dashboard_Query[[#This Row],[Monthly Allowance]]="",Dashboard_Query[[#This Row],[Current Usage]]=""),
    "",
    MAX(0,Dashboard_Query[[#This Row],[Monthly Allowance]]-Dashboard_Query[[#This Row],[Current Usage]])
)</f>
        <v>490.82</v>
      </c>
      <c r="S156" s="9">
        <f>IF(OR(Dashboard_Query[[#This Row],[Monthly Allowance]]="",Dashboard_Query[[#This Row],[Current Usage]]=""),"",Dashboard_Query[[#This Row],[Current Usage]]/Dashboard_Query[[#This Row],[Monthly Allowance]])</f>
        <v>1.8359999999999998E-2</v>
      </c>
      <c r="T156" s="9">
        <f>IF(Dashboard_Query[[#This Row],[% Used]]="","",1-Dashboard_Query[[#This Row],[% Used]])</f>
        <v>0.98163999999999996</v>
      </c>
      <c r="U156" s="4">
        <f>IF(OR(Dashboard_Query[[#This Row],[Monthly Allowance]]="",Dashboard_Query[[#This Row],[Current Usage]]=""),"",MAX(0,Dashboard_Query[[#This Row],[Current Usage]]-Dashboard_Query[[#This Row],[Monthly Allowance]]))</f>
        <v>0</v>
      </c>
      <c r="V156" s="4" t="str">
        <f>IF(Dashboard_Query[[#This Row],[Monthly Allowance]]="","",IF(Dashboard_Query[[#This Row],[Overage]]&gt;0,"OVER",IF(Dashboard_Query[[#This Row],[% Used]]&gt;=0.8,"WARNING","OK")))</f>
        <v>OK</v>
      </c>
      <c r="W156" s="1"/>
      <c r="X156" s="1"/>
    </row>
    <row r="157" spans="1:24">
      <c r="A157" s="4" t="s">
        <v>158</v>
      </c>
      <c r="B157" s="4">
        <v>814470</v>
      </c>
      <c r="C157" s="4" t="s">
        <v>472</v>
      </c>
      <c r="D157" s="4" t="s">
        <v>393</v>
      </c>
      <c r="E157" s="4" t="s">
        <v>128</v>
      </c>
      <c r="F157" s="4">
        <v>211122084</v>
      </c>
      <c r="G157" s="6">
        <v>46248</v>
      </c>
      <c r="H157" s="6">
        <v>46248</v>
      </c>
      <c r="I157" s="32">
        <v>46279</v>
      </c>
      <c r="J157" s="1">
        <v>21</v>
      </c>
      <c r="K157" s="4">
        <v>500</v>
      </c>
      <c r="L157" s="4" t="s">
        <v>122</v>
      </c>
      <c r="M157" s="4" t="s">
        <v>123</v>
      </c>
      <c r="N157" s="6">
        <v>46248</v>
      </c>
      <c r="O157" s="1"/>
      <c r="P157" s="4">
        <v>8.8699999999999992</v>
      </c>
      <c r="Q157" s="4">
        <v>8.84</v>
      </c>
      <c r="R157" s="4">
        <f>IF(
    OR(Dashboard_Query[[#This Row],[Monthly Allowance]]="",Dashboard_Query[[#This Row],[Current Usage]]=""),
    "",
    MAX(0,Dashboard_Query[[#This Row],[Monthly Allowance]]-Dashboard_Query[[#This Row],[Current Usage]])
)</f>
        <v>491.16</v>
      </c>
      <c r="S157" s="9">
        <f>IF(OR(Dashboard_Query[[#This Row],[Monthly Allowance]]="",Dashboard_Query[[#This Row],[Current Usage]]=""),"",Dashboard_Query[[#This Row],[Current Usage]]/Dashboard_Query[[#This Row],[Monthly Allowance]])</f>
        <v>1.7680000000000001E-2</v>
      </c>
      <c r="T157" s="9">
        <f>IF(Dashboard_Query[[#This Row],[% Used]]="","",1-Dashboard_Query[[#This Row],[% Used]])</f>
        <v>0.98231999999999997</v>
      </c>
      <c r="U157" s="4">
        <f>IF(OR(Dashboard_Query[[#This Row],[Monthly Allowance]]="",Dashboard_Query[[#This Row],[Current Usage]]=""),"",MAX(0,Dashboard_Query[[#This Row],[Current Usage]]-Dashboard_Query[[#This Row],[Monthly Allowance]]))</f>
        <v>0</v>
      </c>
      <c r="V157" s="4" t="str">
        <f>IF(Dashboard_Query[[#This Row],[Monthly Allowance]]="","",IF(Dashboard_Query[[#This Row],[Overage]]&gt;0,"OVER",IF(Dashboard_Query[[#This Row],[% Used]]&gt;=0.8,"WARNING","OK")))</f>
        <v>OK</v>
      </c>
      <c r="W157" s="1"/>
      <c r="X157" s="1"/>
    </row>
    <row r="158" spans="1:24">
      <c r="A158" s="4" t="s">
        <v>207</v>
      </c>
      <c r="B158" s="4">
        <v>814467</v>
      </c>
      <c r="C158" s="4" t="s">
        <v>392</v>
      </c>
      <c r="D158" s="4" t="s">
        <v>393</v>
      </c>
      <c r="E158" s="4" t="s">
        <v>394</v>
      </c>
      <c r="F158" s="4">
        <v>211122081</v>
      </c>
      <c r="G158" s="6">
        <v>46248</v>
      </c>
      <c r="H158" s="6">
        <v>46248</v>
      </c>
      <c r="I158" s="32">
        <v>46279</v>
      </c>
      <c r="J158" s="1">
        <v>21</v>
      </c>
      <c r="K158" s="4">
        <v>500</v>
      </c>
      <c r="L158" s="4" t="s">
        <v>122</v>
      </c>
      <c r="M158" s="4" t="s">
        <v>123</v>
      </c>
      <c r="N158" s="6">
        <v>46248</v>
      </c>
      <c r="O158" s="1"/>
      <c r="P158" s="4">
        <v>46.27</v>
      </c>
      <c r="Q158" s="4">
        <v>8.7100000000000009</v>
      </c>
      <c r="R158" s="4">
        <f>IF(
    OR(Dashboard_Query[[#This Row],[Monthly Allowance]]="",Dashboard_Query[[#This Row],[Current Usage]]=""),
    "",
    MAX(0,Dashboard_Query[[#This Row],[Monthly Allowance]]-Dashboard_Query[[#This Row],[Current Usage]])
)</f>
        <v>491.29</v>
      </c>
      <c r="S158" s="9">
        <f>IF(OR(Dashboard_Query[[#This Row],[Monthly Allowance]]="",Dashboard_Query[[#This Row],[Current Usage]]=""),"",Dashboard_Query[[#This Row],[Current Usage]]/Dashboard_Query[[#This Row],[Monthly Allowance]])</f>
        <v>1.7420000000000001E-2</v>
      </c>
      <c r="T158" s="9">
        <f>IF(Dashboard_Query[[#This Row],[% Used]]="","",1-Dashboard_Query[[#This Row],[% Used]])</f>
        <v>0.98258000000000001</v>
      </c>
      <c r="U158" s="4">
        <f>IF(OR(Dashboard_Query[[#This Row],[Monthly Allowance]]="",Dashboard_Query[[#This Row],[Current Usage]]=""),"",MAX(0,Dashboard_Query[[#This Row],[Current Usage]]-Dashboard_Query[[#This Row],[Monthly Allowance]]))</f>
        <v>0</v>
      </c>
      <c r="V158" s="4" t="str">
        <f>IF(Dashboard_Query[[#This Row],[Monthly Allowance]]="","",IF(Dashboard_Query[[#This Row],[Overage]]&gt;0,"OVER",IF(Dashboard_Query[[#This Row],[% Used]]&gt;=0.8,"WARNING","OK")))</f>
        <v>OK</v>
      </c>
      <c r="W158" s="1"/>
      <c r="X158" s="1"/>
    </row>
    <row r="159" spans="1:24">
      <c r="A159" s="4" t="s">
        <v>215</v>
      </c>
      <c r="B159" s="4">
        <v>814449</v>
      </c>
      <c r="C159" s="4" t="s">
        <v>472</v>
      </c>
      <c r="D159" s="4" t="s">
        <v>393</v>
      </c>
      <c r="E159" s="4" t="s">
        <v>128</v>
      </c>
      <c r="F159" s="4">
        <v>211122084</v>
      </c>
      <c r="G159" s="6">
        <v>46248</v>
      </c>
      <c r="H159" s="6">
        <v>46248</v>
      </c>
      <c r="I159" s="32">
        <v>46279</v>
      </c>
      <c r="J159" s="1">
        <v>21</v>
      </c>
      <c r="K159" s="4">
        <v>500</v>
      </c>
      <c r="L159" s="4" t="s">
        <v>122</v>
      </c>
      <c r="M159" s="4" t="s">
        <v>123</v>
      </c>
      <c r="N159" s="6">
        <v>46248</v>
      </c>
      <c r="O159" s="1"/>
      <c r="P159" s="4">
        <v>32.44</v>
      </c>
      <c r="Q159" s="4">
        <v>8.5699999999999967</v>
      </c>
      <c r="R159" s="4">
        <f>IF(
    OR(Dashboard_Query[[#This Row],[Monthly Allowance]]="",Dashboard_Query[[#This Row],[Current Usage]]=""),
    "",
    MAX(0,Dashboard_Query[[#This Row],[Monthly Allowance]]-Dashboard_Query[[#This Row],[Current Usage]])
)</f>
        <v>491.43</v>
      </c>
      <c r="S159" s="9">
        <f>IF(OR(Dashboard_Query[[#This Row],[Monthly Allowance]]="",Dashboard_Query[[#This Row],[Current Usage]]=""),"",Dashboard_Query[[#This Row],[Current Usage]]/Dashboard_Query[[#This Row],[Monthly Allowance]])</f>
        <v>1.7139999999999992E-2</v>
      </c>
      <c r="T159" s="9">
        <f>IF(Dashboard_Query[[#This Row],[% Used]]="","",1-Dashboard_Query[[#This Row],[% Used]])</f>
        <v>0.98285999999999996</v>
      </c>
      <c r="U159" s="4">
        <f>IF(OR(Dashboard_Query[[#This Row],[Monthly Allowance]]="",Dashboard_Query[[#This Row],[Current Usage]]=""),"",MAX(0,Dashboard_Query[[#This Row],[Current Usage]]-Dashboard_Query[[#This Row],[Monthly Allowance]]))</f>
        <v>0</v>
      </c>
      <c r="V159" s="4" t="str">
        <f>IF(Dashboard_Query[[#This Row],[Monthly Allowance]]="","",IF(Dashboard_Query[[#This Row],[Overage]]&gt;0,"OVER",IF(Dashboard_Query[[#This Row],[% Used]]&gt;=0.8,"WARNING","OK")))</f>
        <v>OK</v>
      </c>
      <c r="W159" s="1"/>
      <c r="X159" s="1"/>
    </row>
    <row r="160" spans="1:24">
      <c r="A160" s="4" t="s">
        <v>258</v>
      </c>
      <c r="B160" s="4">
        <v>809870</v>
      </c>
      <c r="C160" s="4" t="s">
        <v>392</v>
      </c>
      <c r="D160" s="4" t="s">
        <v>393</v>
      </c>
      <c r="E160" s="4" t="s">
        <v>394</v>
      </c>
      <c r="F160" s="4">
        <v>211122081</v>
      </c>
      <c r="G160" s="6">
        <v>46248</v>
      </c>
      <c r="H160" s="6">
        <v>46248</v>
      </c>
      <c r="I160" s="32">
        <v>46279</v>
      </c>
      <c r="J160" s="1">
        <v>21</v>
      </c>
      <c r="K160" s="4">
        <v>500</v>
      </c>
      <c r="L160" s="4" t="s">
        <v>122</v>
      </c>
      <c r="M160" s="4" t="s">
        <v>123</v>
      </c>
      <c r="N160" s="6">
        <v>46248</v>
      </c>
      <c r="O160" s="1"/>
      <c r="P160" s="4">
        <v>14.55</v>
      </c>
      <c r="Q160" s="4">
        <v>8.4400000000000013</v>
      </c>
      <c r="R160" s="4">
        <f>IF(
    OR(Dashboard_Query[[#This Row],[Monthly Allowance]]="",Dashboard_Query[[#This Row],[Current Usage]]=""),
    "",
    MAX(0,Dashboard_Query[[#This Row],[Monthly Allowance]]-Dashboard_Query[[#This Row],[Current Usage]])
)</f>
        <v>491.56</v>
      </c>
      <c r="S160" s="9">
        <f>IF(OR(Dashboard_Query[[#This Row],[Monthly Allowance]]="",Dashboard_Query[[#This Row],[Current Usage]]=""),"",Dashboard_Query[[#This Row],[Current Usage]]/Dashboard_Query[[#This Row],[Monthly Allowance]])</f>
        <v>1.6880000000000003E-2</v>
      </c>
      <c r="T160" s="9">
        <f>IF(Dashboard_Query[[#This Row],[% Used]]="","",1-Dashboard_Query[[#This Row],[% Used]])</f>
        <v>0.98311999999999999</v>
      </c>
      <c r="U160" s="4">
        <f>IF(OR(Dashboard_Query[[#This Row],[Monthly Allowance]]="",Dashboard_Query[[#This Row],[Current Usage]]=""),"",MAX(0,Dashboard_Query[[#This Row],[Current Usage]]-Dashboard_Query[[#This Row],[Monthly Allowance]]))</f>
        <v>0</v>
      </c>
      <c r="V160" s="4" t="str">
        <f>IF(Dashboard_Query[[#This Row],[Monthly Allowance]]="","",IF(Dashboard_Query[[#This Row],[Overage]]&gt;0,"OVER",IF(Dashboard_Query[[#This Row],[% Used]]&gt;=0.8,"WARNING","OK")))</f>
        <v>OK</v>
      </c>
      <c r="W160" s="1"/>
      <c r="X160" s="1"/>
    </row>
    <row r="161" spans="1:24">
      <c r="A161" s="4" t="s">
        <v>304</v>
      </c>
      <c r="B161" s="4">
        <v>810101</v>
      </c>
      <c r="C161" s="4" t="s">
        <v>472</v>
      </c>
      <c r="D161" s="4" t="s">
        <v>393</v>
      </c>
      <c r="E161" s="4" t="s">
        <v>128</v>
      </c>
      <c r="F161" s="4">
        <v>211122084</v>
      </c>
      <c r="G161" s="6">
        <v>46248</v>
      </c>
      <c r="H161" s="6">
        <v>46248</v>
      </c>
      <c r="I161" s="32">
        <v>46279</v>
      </c>
      <c r="J161" s="1">
        <v>21</v>
      </c>
      <c r="K161" s="4">
        <v>500</v>
      </c>
      <c r="L161" s="4" t="s">
        <v>122</v>
      </c>
      <c r="M161" s="4" t="s">
        <v>123</v>
      </c>
      <c r="N161" s="6">
        <v>46248</v>
      </c>
      <c r="O161" s="1"/>
      <c r="P161" s="4">
        <v>8.23</v>
      </c>
      <c r="Q161" s="4">
        <v>8.23</v>
      </c>
      <c r="R161" s="4">
        <f>IF(
    OR(Dashboard_Query[[#This Row],[Monthly Allowance]]="",Dashboard_Query[[#This Row],[Current Usage]]=""),
    "",
    MAX(0,Dashboard_Query[[#This Row],[Monthly Allowance]]-Dashboard_Query[[#This Row],[Current Usage]])
)</f>
        <v>491.77</v>
      </c>
      <c r="S161" s="9">
        <f>IF(OR(Dashboard_Query[[#This Row],[Monthly Allowance]]="",Dashboard_Query[[#This Row],[Current Usage]]=""),"",Dashboard_Query[[#This Row],[Current Usage]]/Dashboard_Query[[#This Row],[Monthly Allowance]])</f>
        <v>1.6460000000000002E-2</v>
      </c>
      <c r="T161" s="9">
        <f>IF(Dashboard_Query[[#This Row],[% Used]]="","",1-Dashboard_Query[[#This Row],[% Used]])</f>
        <v>0.98353999999999997</v>
      </c>
      <c r="U161" s="4">
        <f>IF(OR(Dashboard_Query[[#This Row],[Monthly Allowance]]="",Dashboard_Query[[#This Row],[Current Usage]]=""),"",MAX(0,Dashboard_Query[[#This Row],[Current Usage]]-Dashboard_Query[[#This Row],[Monthly Allowance]]))</f>
        <v>0</v>
      </c>
      <c r="V161" s="4" t="str">
        <f>IF(Dashboard_Query[[#This Row],[Monthly Allowance]]="","",IF(Dashboard_Query[[#This Row],[Overage]]&gt;0,"OVER",IF(Dashboard_Query[[#This Row],[% Used]]&gt;=0.8,"WARNING","OK")))</f>
        <v>OK</v>
      </c>
      <c r="W161" s="1"/>
      <c r="X161" s="1"/>
    </row>
    <row r="162" spans="1:24" hidden="1">
      <c r="A162" s="4" t="s">
        <v>305</v>
      </c>
      <c r="B162" s="4">
        <v>812806</v>
      </c>
      <c r="C162" s="4"/>
      <c r="D162" s="4"/>
      <c r="E162" s="4"/>
      <c r="F162" s="4"/>
      <c r="G162" s="6"/>
      <c r="H162" s="6"/>
      <c r="I162" s="32"/>
      <c r="J162" s="1"/>
      <c r="K162" s="4">
        <v>500</v>
      </c>
      <c r="L162" s="4" t="s">
        <v>122</v>
      </c>
      <c r="M162" s="4" t="s">
        <v>35</v>
      </c>
      <c r="N162" s="6"/>
      <c r="O162" s="1"/>
      <c r="P162" s="4">
        <v>2.95</v>
      </c>
      <c r="Q162" s="4">
        <v>7.8499999999999988</v>
      </c>
      <c r="R162" s="4">
        <f>IF(
    OR(Dashboard_Query[[#This Row],[Monthly Allowance]]="",Dashboard_Query[[#This Row],[Current Usage]]=""),
    "",
    MAX(0,Dashboard_Query[[#This Row],[Monthly Allowance]]-Dashboard_Query[[#This Row],[Current Usage]])
)</f>
        <v>492.15</v>
      </c>
      <c r="S162" s="9">
        <f>IF(OR(Dashboard_Query[[#This Row],[Monthly Allowance]]="",Dashboard_Query[[#This Row],[Current Usage]]=""),"",Dashboard_Query[[#This Row],[Current Usage]]/Dashboard_Query[[#This Row],[Monthly Allowance]])</f>
        <v>1.5699999999999999E-2</v>
      </c>
      <c r="T162" s="9">
        <f>IF(Dashboard_Query[[#This Row],[% Used]]="","",1-Dashboard_Query[[#This Row],[% Used]])</f>
        <v>0.98429999999999995</v>
      </c>
      <c r="U162" s="4">
        <f>IF(OR(Dashboard_Query[[#This Row],[Monthly Allowance]]="",Dashboard_Query[[#This Row],[Current Usage]]=""),"",MAX(0,Dashboard_Query[[#This Row],[Current Usage]]-Dashboard_Query[[#This Row],[Monthly Allowance]]))</f>
        <v>0</v>
      </c>
      <c r="V162" s="4" t="str">
        <f>IF(Dashboard_Query[[#This Row],[Monthly Allowance]]="","",IF(Dashboard_Query[[#This Row],[Overage]]&gt;0,"OVER",IF(Dashboard_Query[[#This Row],[% Used]]&gt;=0.8,"WARNING","OK")))</f>
        <v>OK</v>
      </c>
      <c r="W162" s="1"/>
      <c r="X162" s="1"/>
    </row>
    <row r="163" spans="1:24">
      <c r="A163" s="4" t="s">
        <v>184</v>
      </c>
      <c r="B163" s="4">
        <v>814439</v>
      </c>
      <c r="C163" s="4" t="s">
        <v>472</v>
      </c>
      <c r="D163" s="4" t="s">
        <v>393</v>
      </c>
      <c r="E163" s="4" t="s">
        <v>128</v>
      </c>
      <c r="F163" s="4">
        <v>211122084</v>
      </c>
      <c r="G163" s="6">
        <v>46248</v>
      </c>
      <c r="H163" s="6">
        <v>46248</v>
      </c>
      <c r="I163" s="32">
        <v>46279</v>
      </c>
      <c r="J163" s="1">
        <v>21</v>
      </c>
      <c r="K163" s="4">
        <v>500</v>
      </c>
      <c r="L163" s="4" t="s">
        <v>122</v>
      </c>
      <c r="M163" s="4" t="s">
        <v>123</v>
      </c>
      <c r="N163" s="6">
        <v>46248</v>
      </c>
      <c r="O163" s="1"/>
      <c r="P163" s="4">
        <v>8.75</v>
      </c>
      <c r="Q163" s="4">
        <v>7.54</v>
      </c>
      <c r="R163" s="4">
        <f>IF(
    OR(Dashboard_Query[[#This Row],[Monthly Allowance]]="",Dashboard_Query[[#This Row],[Current Usage]]=""),
    "",
    MAX(0,Dashboard_Query[[#This Row],[Monthly Allowance]]-Dashboard_Query[[#This Row],[Current Usage]])
)</f>
        <v>492.46</v>
      </c>
      <c r="S163" s="9">
        <f>IF(OR(Dashboard_Query[[#This Row],[Monthly Allowance]]="",Dashboard_Query[[#This Row],[Current Usage]]=""),"",Dashboard_Query[[#This Row],[Current Usage]]/Dashboard_Query[[#This Row],[Monthly Allowance]])</f>
        <v>1.508E-2</v>
      </c>
      <c r="T163" s="9">
        <f>IF(Dashboard_Query[[#This Row],[% Used]]="","",1-Dashboard_Query[[#This Row],[% Used]])</f>
        <v>0.98492000000000002</v>
      </c>
      <c r="U163" s="4">
        <f>IF(OR(Dashboard_Query[[#This Row],[Monthly Allowance]]="",Dashboard_Query[[#This Row],[Current Usage]]=""),"",MAX(0,Dashboard_Query[[#This Row],[Current Usage]]-Dashboard_Query[[#This Row],[Monthly Allowance]]))</f>
        <v>0</v>
      </c>
      <c r="V163" s="4" t="str">
        <f>IF(Dashboard_Query[[#This Row],[Monthly Allowance]]="","",IF(Dashboard_Query[[#This Row],[Overage]]&gt;0,"OVER",IF(Dashboard_Query[[#This Row],[% Used]]&gt;=0.8,"WARNING","OK")))</f>
        <v>OK</v>
      </c>
      <c r="W163" s="1"/>
      <c r="X163" s="1"/>
    </row>
    <row r="164" spans="1:24" hidden="1">
      <c r="A164" s="4" t="s">
        <v>242</v>
      </c>
      <c r="B164" s="4">
        <v>809619</v>
      </c>
      <c r="C164" s="4"/>
      <c r="D164" s="4"/>
      <c r="E164" s="4"/>
      <c r="F164" s="4"/>
      <c r="G164" s="6"/>
      <c r="H164" s="6"/>
      <c r="I164" s="32"/>
      <c r="J164" s="1"/>
      <c r="K164" s="4">
        <v>500</v>
      </c>
      <c r="L164" s="4" t="s">
        <v>122</v>
      </c>
      <c r="M164" s="4" t="s">
        <v>35</v>
      </c>
      <c r="N164" s="6"/>
      <c r="O164" s="1"/>
      <c r="P164" s="4">
        <v>5.78</v>
      </c>
      <c r="Q164" s="4">
        <v>7.4</v>
      </c>
      <c r="R164" s="4">
        <f>IF(
    OR(Dashboard_Query[[#This Row],[Monthly Allowance]]="",Dashboard_Query[[#This Row],[Current Usage]]=""),
    "",
    MAX(0,Dashboard_Query[[#This Row],[Monthly Allowance]]-Dashboard_Query[[#This Row],[Current Usage]])
)</f>
        <v>492.6</v>
      </c>
      <c r="S164" s="9">
        <f>IF(OR(Dashboard_Query[[#This Row],[Monthly Allowance]]="",Dashboard_Query[[#This Row],[Current Usage]]=""),"",Dashboard_Query[[#This Row],[Current Usage]]/Dashboard_Query[[#This Row],[Monthly Allowance]])</f>
        <v>1.4800000000000001E-2</v>
      </c>
      <c r="T164" s="9">
        <f>IF(Dashboard_Query[[#This Row],[% Used]]="","",1-Dashboard_Query[[#This Row],[% Used]])</f>
        <v>0.98519999999999996</v>
      </c>
      <c r="U164" s="4">
        <f>IF(OR(Dashboard_Query[[#This Row],[Monthly Allowance]]="",Dashboard_Query[[#This Row],[Current Usage]]=""),"",MAX(0,Dashboard_Query[[#This Row],[Current Usage]]-Dashboard_Query[[#This Row],[Monthly Allowance]]))</f>
        <v>0</v>
      </c>
      <c r="V164" s="4" t="str">
        <f>IF(Dashboard_Query[[#This Row],[Monthly Allowance]]="","",IF(Dashboard_Query[[#This Row],[Overage]]&gt;0,"OVER",IF(Dashboard_Query[[#This Row],[% Used]]&gt;=0.8,"WARNING","OK")))</f>
        <v>OK</v>
      </c>
      <c r="W164" s="1"/>
      <c r="X164" s="1"/>
    </row>
    <row r="165" spans="1:24">
      <c r="A165" s="4" t="s">
        <v>262</v>
      </c>
      <c r="B165" s="4">
        <v>809867</v>
      </c>
      <c r="C165" s="4" t="s">
        <v>388</v>
      </c>
      <c r="D165" s="4" t="s">
        <v>306</v>
      </c>
      <c r="E165" s="4" t="s">
        <v>389</v>
      </c>
      <c r="F165" s="4">
        <v>211121969</v>
      </c>
      <c r="G165" s="6">
        <v>46246</v>
      </c>
      <c r="H165" s="6">
        <v>46246</v>
      </c>
      <c r="I165" s="32">
        <v>46277</v>
      </c>
      <c r="J165" s="1">
        <v>19</v>
      </c>
      <c r="K165" s="4">
        <v>500</v>
      </c>
      <c r="L165" s="4" t="s">
        <v>122</v>
      </c>
      <c r="M165" s="4" t="s">
        <v>123</v>
      </c>
      <c r="N165" s="6">
        <v>46246</v>
      </c>
      <c r="O165" s="1"/>
      <c r="P165" s="4">
        <v>7.07</v>
      </c>
      <c r="Q165" s="4">
        <v>7.07</v>
      </c>
      <c r="R165" s="4">
        <f>IF(
    OR(Dashboard_Query[[#This Row],[Monthly Allowance]]="",Dashboard_Query[[#This Row],[Current Usage]]=""),
    "",
    MAX(0,Dashboard_Query[[#This Row],[Monthly Allowance]]-Dashboard_Query[[#This Row],[Current Usage]])
)</f>
        <v>492.93</v>
      </c>
      <c r="S165" s="9">
        <f>IF(OR(Dashboard_Query[[#This Row],[Monthly Allowance]]="",Dashboard_Query[[#This Row],[Current Usage]]=""),"",Dashboard_Query[[#This Row],[Current Usage]]/Dashboard_Query[[#This Row],[Monthly Allowance]])</f>
        <v>1.414E-2</v>
      </c>
      <c r="T165" s="9">
        <f>IF(Dashboard_Query[[#This Row],[% Used]]="","",1-Dashboard_Query[[#This Row],[% Used]])</f>
        <v>0.98585999999999996</v>
      </c>
      <c r="U165" s="4">
        <f>IF(OR(Dashboard_Query[[#This Row],[Monthly Allowance]]="",Dashboard_Query[[#This Row],[Current Usage]]=""),"",MAX(0,Dashboard_Query[[#This Row],[Current Usage]]-Dashboard_Query[[#This Row],[Monthly Allowance]]))</f>
        <v>0</v>
      </c>
      <c r="V165" s="4" t="str">
        <f>IF(Dashboard_Query[[#This Row],[Monthly Allowance]]="","",IF(Dashboard_Query[[#This Row],[Overage]]&gt;0,"OVER",IF(Dashboard_Query[[#This Row],[% Used]]&gt;=0.8,"WARNING","OK")))</f>
        <v>OK</v>
      </c>
      <c r="W165" s="1"/>
      <c r="X165" s="1"/>
    </row>
    <row r="166" spans="1:24">
      <c r="A166" s="4" t="s">
        <v>284</v>
      </c>
      <c r="B166" s="4">
        <v>809863</v>
      </c>
      <c r="C166" s="4" t="s">
        <v>244</v>
      </c>
      <c r="D166" s="4" t="s">
        <v>245</v>
      </c>
      <c r="E166" s="4" t="s">
        <v>246</v>
      </c>
      <c r="F166" s="4">
        <v>211121204</v>
      </c>
      <c r="G166" s="6">
        <v>46224</v>
      </c>
      <c r="H166" s="6">
        <v>46255</v>
      </c>
      <c r="I166" s="32">
        <v>46286</v>
      </c>
      <c r="J166" s="1">
        <v>28</v>
      </c>
      <c r="K166" s="4">
        <v>500</v>
      </c>
      <c r="L166" s="4" t="s">
        <v>122</v>
      </c>
      <c r="M166" s="4" t="s">
        <v>123</v>
      </c>
      <c r="N166" s="6">
        <v>46255</v>
      </c>
      <c r="O166" s="1"/>
      <c r="P166" s="4">
        <v>8.27</v>
      </c>
      <c r="Q166" s="4">
        <v>6.5699999999999994</v>
      </c>
      <c r="R166" s="4">
        <f>IF(
    OR(Dashboard_Query[[#This Row],[Monthly Allowance]]="",Dashboard_Query[[#This Row],[Current Usage]]=""),
    "",
    MAX(0,Dashboard_Query[[#This Row],[Monthly Allowance]]-Dashboard_Query[[#This Row],[Current Usage]])
)</f>
        <v>493.43</v>
      </c>
      <c r="S166" s="9">
        <f>IF(OR(Dashboard_Query[[#This Row],[Monthly Allowance]]="",Dashboard_Query[[#This Row],[Current Usage]]=""),"",Dashboard_Query[[#This Row],[Current Usage]]/Dashboard_Query[[#This Row],[Monthly Allowance]])</f>
        <v>1.3139999999999999E-2</v>
      </c>
      <c r="T166" s="9">
        <f>IF(Dashboard_Query[[#This Row],[% Used]]="","",1-Dashboard_Query[[#This Row],[% Used]])</f>
        <v>0.98685999999999996</v>
      </c>
      <c r="U166" s="4">
        <f>IF(OR(Dashboard_Query[[#This Row],[Monthly Allowance]]="",Dashboard_Query[[#This Row],[Current Usage]]=""),"",MAX(0,Dashboard_Query[[#This Row],[Current Usage]]-Dashboard_Query[[#This Row],[Monthly Allowance]]))</f>
        <v>0</v>
      </c>
      <c r="V166" s="4" t="str">
        <f>IF(Dashboard_Query[[#This Row],[Monthly Allowance]]="","",IF(Dashboard_Query[[#This Row],[Overage]]&gt;0,"OVER",IF(Dashboard_Query[[#This Row],[% Used]]&gt;=0.8,"WARNING","OK")))</f>
        <v>OK</v>
      </c>
      <c r="W166" s="1"/>
      <c r="X166" s="1"/>
    </row>
    <row r="167" spans="1:24">
      <c r="A167" s="4" t="s">
        <v>214</v>
      </c>
      <c r="B167" s="4">
        <v>814443</v>
      </c>
      <c r="C167" s="4" t="s">
        <v>472</v>
      </c>
      <c r="D167" s="4" t="s">
        <v>393</v>
      </c>
      <c r="E167" s="4" t="s">
        <v>128</v>
      </c>
      <c r="F167" s="4">
        <v>211122084</v>
      </c>
      <c r="G167" s="6">
        <v>46248</v>
      </c>
      <c r="H167" s="6">
        <v>46248</v>
      </c>
      <c r="I167" s="32">
        <v>46279</v>
      </c>
      <c r="J167" s="1">
        <v>21</v>
      </c>
      <c r="K167" s="4">
        <v>500</v>
      </c>
      <c r="L167" s="4" t="s">
        <v>122</v>
      </c>
      <c r="M167" s="4" t="s">
        <v>123</v>
      </c>
      <c r="N167" s="6">
        <v>46248</v>
      </c>
      <c r="O167" s="1"/>
      <c r="P167" s="4">
        <v>48.01</v>
      </c>
      <c r="Q167" s="4">
        <v>6.4199999999999946</v>
      </c>
      <c r="R167" s="4">
        <f>IF(
    OR(Dashboard_Query[[#This Row],[Monthly Allowance]]="",Dashboard_Query[[#This Row],[Current Usage]]=""),
    "",
    MAX(0,Dashboard_Query[[#This Row],[Monthly Allowance]]-Dashboard_Query[[#This Row],[Current Usage]])
)</f>
        <v>493.58</v>
      </c>
      <c r="S167" s="9">
        <f>IF(OR(Dashboard_Query[[#This Row],[Monthly Allowance]]="",Dashboard_Query[[#This Row],[Current Usage]]=""),"",Dashboard_Query[[#This Row],[Current Usage]]/Dashboard_Query[[#This Row],[Monthly Allowance]])</f>
        <v>1.2839999999999989E-2</v>
      </c>
      <c r="T167" s="9">
        <f>IF(Dashboard_Query[[#This Row],[% Used]]="","",1-Dashboard_Query[[#This Row],[% Used]])</f>
        <v>0.98716000000000004</v>
      </c>
      <c r="U167" s="4">
        <f>IF(OR(Dashboard_Query[[#This Row],[Monthly Allowance]]="",Dashboard_Query[[#This Row],[Current Usage]]=""),"",MAX(0,Dashboard_Query[[#This Row],[Current Usage]]-Dashboard_Query[[#This Row],[Monthly Allowance]]))</f>
        <v>0</v>
      </c>
      <c r="V167" s="4" t="str">
        <f>IF(Dashboard_Query[[#This Row],[Monthly Allowance]]="","",IF(Dashboard_Query[[#This Row],[Overage]]&gt;0,"OVER",IF(Dashboard_Query[[#This Row],[% Used]]&gt;=0.8,"WARNING","OK")))</f>
        <v>OK</v>
      </c>
      <c r="W167" s="1"/>
      <c r="X167" s="1"/>
    </row>
    <row r="168" spans="1:24">
      <c r="A168" s="4" t="s">
        <v>307</v>
      </c>
      <c r="B168" s="4">
        <v>814645</v>
      </c>
      <c r="C168" s="4" t="s">
        <v>474</v>
      </c>
      <c r="D168" s="4" t="s">
        <v>475</v>
      </c>
      <c r="E168" s="4" t="s">
        <v>476</v>
      </c>
      <c r="F168" s="4">
        <v>211122264</v>
      </c>
      <c r="G168" s="6">
        <v>46254</v>
      </c>
      <c r="H168" s="6">
        <v>46254</v>
      </c>
      <c r="I168" s="32">
        <v>46285</v>
      </c>
      <c r="J168" s="1">
        <v>27</v>
      </c>
      <c r="K168" s="4">
        <v>1000</v>
      </c>
      <c r="L168" s="4" t="s">
        <v>122</v>
      </c>
      <c r="M168" s="4" t="s">
        <v>123</v>
      </c>
      <c r="N168" s="6">
        <v>46254</v>
      </c>
      <c r="O168" s="1"/>
      <c r="P168" s="4">
        <v>13.23</v>
      </c>
      <c r="Q168" s="4">
        <v>12.450000000000001</v>
      </c>
      <c r="R168" s="4">
        <f>IF(
    OR(Dashboard_Query[[#This Row],[Monthly Allowance]]="",Dashboard_Query[[#This Row],[Current Usage]]=""),
    "",
    MAX(0,Dashboard_Query[[#This Row],[Monthly Allowance]]-Dashboard_Query[[#This Row],[Current Usage]])
)</f>
        <v>987.55</v>
      </c>
      <c r="S168" s="9">
        <f>IF(OR(Dashboard_Query[[#This Row],[Monthly Allowance]]="",Dashboard_Query[[#This Row],[Current Usage]]=""),"",Dashboard_Query[[#This Row],[Current Usage]]/Dashboard_Query[[#This Row],[Monthly Allowance]])</f>
        <v>1.2450000000000001E-2</v>
      </c>
      <c r="T168" s="9">
        <f>IF(Dashboard_Query[[#This Row],[% Used]]="","",1-Dashboard_Query[[#This Row],[% Used]])</f>
        <v>0.98755000000000004</v>
      </c>
      <c r="U168" s="4">
        <f>IF(OR(Dashboard_Query[[#This Row],[Monthly Allowance]]="",Dashboard_Query[[#This Row],[Current Usage]]=""),"",MAX(0,Dashboard_Query[[#This Row],[Current Usage]]-Dashboard_Query[[#This Row],[Monthly Allowance]]))</f>
        <v>0</v>
      </c>
      <c r="V168" s="4" t="str">
        <f>IF(Dashboard_Query[[#This Row],[Monthly Allowance]]="","",IF(Dashboard_Query[[#This Row],[Overage]]&gt;0,"OVER",IF(Dashboard_Query[[#This Row],[% Used]]&gt;=0.8,"WARNING","OK")))</f>
        <v>OK</v>
      </c>
      <c r="W168" s="1"/>
      <c r="X168" s="1"/>
    </row>
    <row r="169" spans="1:24">
      <c r="A169" s="4" t="s">
        <v>243</v>
      </c>
      <c r="B169" s="4">
        <v>814458</v>
      </c>
      <c r="C169" s="4" t="s">
        <v>244</v>
      </c>
      <c r="D169" s="4" t="s">
        <v>245</v>
      </c>
      <c r="E169" s="4" t="s">
        <v>246</v>
      </c>
      <c r="F169" s="4">
        <v>211121204</v>
      </c>
      <c r="G169" s="6">
        <v>46224</v>
      </c>
      <c r="H169" s="6">
        <v>46255</v>
      </c>
      <c r="I169" s="32">
        <v>46286</v>
      </c>
      <c r="J169" s="1">
        <v>28</v>
      </c>
      <c r="K169" s="4">
        <v>500</v>
      </c>
      <c r="L169" s="4" t="s">
        <v>122</v>
      </c>
      <c r="M169" s="4" t="s">
        <v>123</v>
      </c>
      <c r="N169" s="6">
        <v>46255</v>
      </c>
      <c r="O169" s="1"/>
      <c r="P169" s="4">
        <v>26.75</v>
      </c>
      <c r="Q169" s="4">
        <v>5.98</v>
      </c>
      <c r="R169" s="4">
        <f>IF(
    OR(Dashboard_Query[[#This Row],[Monthly Allowance]]="",Dashboard_Query[[#This Row],[Current Usage]]=""),
    "",
    MAX(0,Dashboard_Query[[#This Row],[Monthly Allowance]]-Dashboard_Query[[#This Row],[Current Usage]])
)</f>
        <v>494.02</v>
      </c>
      <c r="S169" s="9">
        <f>IF(OR(Dashboard_Query[[#This Row],[Monthly Allowance]]="",Dashboard_Query[[#This Row],[Current Usage]]=""),"",Dashboard_Query[[#This Row],[Current Usage]]/Dashboard_Query[[#This Row],[Monthly Allowance]])</f>
        <v>1.196E-2</v>
      </c>
      <c r="T169" s="9">
        <f>IF(Dashboard_Query[[#This Row],[% Used]]="","",1-Dashboard_Query[[#This Row],[% Used]])</f>
        <v>0.98804000000000003</v>
      </c>
      <c r="U169" s="4">
        <f>IF(OR(Dashboard_Query[[#This Row],[Monthly Allowance]]="",Dashboard_Query[[#This Row],[Current Usage]]=""),"",MAX(0,Dashboard_Query[[#This Row],[Current Usage]]-Dashboard_Query[[#This Row],[Monthly Allowance]]))</f>
        <v>0</v>
      </c>
      <c r="V169" s="4" t="str">
        <f>IF(Dashboard_Query[[#This Row],[Monthly Allowance]]="","",IF(Dashboard_Query[[#This Row],[Overage]]&gt;0,"OVER",IF(Dashboard_Query[[#This Row],[% Used]]&gt;=0.8,"WARNING","OK")))</f>
        <v>OK</v>
      </c>
      <c r="W169" s="1"/>
      <c r="X169" s="1"/>
    </row>
    <row r="170" spans="1:24">
      <c r="A170" s="4" t="s">
        <v>345</v>
      </c>
      <c r="B170" s="4">
        <v>812796</v>
      </c>
      <c r="C170" s="4" t="s">
        <v>244</v>
      </c>
      <c r="D170" s="4" t="s">
        <v>245</v>
      </c>
      <c r="E170" s="4" t="s">
        <v>246</v>
      </c>
      <c r="F170" s="4">
        <v>211121204</v>
      </c>
      <c r="G170" s="6">
        <v>46224</v>
      </c>
      <c r="H170" s="6">
        <v>46255</v>
      </c>
      <c r="I170" s="32">
        <v>46286</v>
      </c>
      <c r="J170" s="1">
        <v>28</v>
      </c>
      <c r="K170" s="4">
        <v>500</v>
      </c>
      <c r="L170" s="4" t="s">
        <v>122</v>
      </c>
      <c r="M170" s="4" t="s">
        <v>123</v>
      </c>
      <c r="N170" s="6">
        <v>46255</v>
      </c>
      <c r="O170" s="1"/>
      <c r="P170" s="4">
        <v>5.87</v>
      </c>
      <c r="Q170" s="4">
        <v>5.87</v>
      </c>
      <c r="R170" s="4">
        <f>IF(
    OR(Dashboard_Query[[#This Row],[Monthly Allowance]]="",Dashboard_Query[[#This Row],[Current Usage]]=""),
    "",
    MAX(0,Dashboard_Query[[#This Row],[Monthly Allowance]]-Dashboard_Query[[#This Row],[Current Usage]])
)</f>
        <v>494.13</v>
      </c>
      <c r="S170" s="9">
        <f>IF(OR(Dashboard_Query[[#This Row],[Monthly Allowance]]="",Dashboard_Query[[#This Row],[Current Usage]]=""),"",Dashboard_Query[[#This Row],[Current Usage]]/Dashboard_Query[[#This Row],[Monthly Allowance]])</f>
        <v>1.174E-2</v>
      </c>
      <c r="T170" s="9">
        <f>IF(Dashboard_Query[[#This Row],[% Used]]="","",1-Dashboard_Query[[#This Row],[% Used]])</f>
        <v>0.98826000000000003</v>
      </c>
      <c r="U170" s="4">
        <f>IF(OR(Dashboard_Query[[#This Row],[Monthly Allowance]]="",Dashboard_Query[[#This Row],[Current Usage]]=""),"",MAX(0,Dashboard_Query[[#This Row],[Current Usage]]-Dashboard_Query[[#This Row],[Monthly Allowance]]))</f>
        <v>0</v>
      </c>
      <c r="V170" s="4" t="str">
        <f>IF(Dashboard_Query[[#This Row],[Monthly Allowance]]="","",IF(Dashboard_Query[[#This Row],[Overage]]&gt;0,"OVER",IF(Dashboard_Query[[#This Row],[% Used]]&gt;=0.8,"WARNING","OK")))</f>
        <v>OK</v>
      </c>
      <c r="W170" s="1"/>
      <c r="X170" s="1"/>
    </row>
    <row r="171" spans="1:24" hidden="1">
      <c r="A171" s="4" t="s">
        <v>213</v>
      </c>
      <c r="B171" s="4">
        <v>809617</v>
      </c>
      <c r="C171" s="4"/>
      <c r="D171" s="4"/>
      <c r="E171" s="4"/>
      <c r="F171" s="4"/>
      <c r="G171" s="6"/>
      <c r="H171" s="6"/>
      <c r="I171" s="32"/>
      <c r="J171" s="1"/>
      <c r="K171" s="4">
        <v>500</v>
      </c>
      <c r="L171" s="4" t="s">
        <v>122</v>
      </c>
      <c r="M171" s="4" t="s">
        <v>35</v>
      </c>
      <c r="N171" s="6"/>
      <c r="O171" s="1"/>
      <c r="P171" s="4">
        <v>3.02</v>
      </c>
      <c r="Q171" s="4">
        <v>5.5600000000000005</v>
      </c>
      <c r="R171" s="4">
        <f>IF(
    OR(Dashboard_Query[[#This Row],[Monthly Allowance]]="",Dashboard_Query[[#This Row],[Current Usage]]=""),
    "",
    MAX(0,Dashboard_Query[[#This Row],[Monthly Allowance]]-Dashboard_Query[[#This Row],[Current Usage]])
)</f>
        <v>494.44</v>
      </c>
      <c r="S171" s="9">
        <f>IF(OR(Dashboard_Query[[#This Row],[Monthly Allowance]]="",Dashboard_Query[[#This Row],[Current Usage]]=""),"",Dashboard_Query[[#This Row],[Current Usage]]/Dashboard_Query[[#This Row],[Monthly Allowance]])</f>
        <v>1.1120000000000001E-2</v>
      </c>
      <c r="T171" s="9">
        <f>IF(Dashboard_Query[[#This Row],[% Used]]="","",1-Dashboard_Query[[#This Row],[% Used]])</f>
        <v>0.98887999999999998</v>
      </c>
      <c r="U171" s="4">
        <f>IF(OR(Dashboard_Query[[#This Row],[Monthly Allowance]]="",Dashboard_Query[[#This Row],[Current Usage]]=""),"",MAX(0,Dashboard_Query[[#This Row],[Current Usage]]-Dashboard_Query[[#This Row],[Monthly Allowance]]))</f>
        <v>0</v>
      </c>
      <c r="V171" s="4" t="str">
        <f>IF(Dashboard_Query[[#This Row],[Monthly Allowance]]="","",IF(Dashboard_Query[[#This Row],[Overage]]&gt;0,"OVER",IF(Dashboard_Query[[#This Row],[% Used]]&gt;=0.8,"WARNING","OK")))</f>
        <v>OK</v>
      </c>
      <c r="W171" s="1"/>
      <c r="X171" s="1"/>
    </row>
    <row r="172" spans="1:24">
      <c r="A172" s="4" t="s">
        <v>145</v>
      </c>
      <c r="B172" s="4">
        <v>814434</v>
      </c>
      <c r="C172" s="4" t="s">
        <v>472</v>
      </c>
      <c r="D172" s="4" t="s">
        <v>393</v>
      </c>
      <c r="E172" s="4" t="s">
        <v>128</v>
      </c>
      <c r="F172" s="4">
        <v>211122084</v>
      </c>
      <c r="G172" s="6">
        <v>46248</v>
      </c>
      <c r="H172" s="6">
        <v>46248</v>
      </c>
      <c r="I172" s="32">
        <v>46279</v>
      </c>
      <c r="J172" s="1">
        <v>21</v>
      </c>
      <c r="K172" s="4">
        <v>500</v>
      </c>
      <c r="L172" s="4" t="s">
        <v>122</v>
      </c>
      <c r="M172" s="4" t="s">
        <v>123</v>
      </c>
      <c r="N172" s="6">
        <v>46248</v>
      </c>
      <c r="O172" s="1"/>
      <c r="P172" s="4">
        <v>5.54</v>
      </c>
      <c r="Q172" s="4">
        <v>5.53</v>
      </c>
      <c r="R172" s="4">
        <f>IF(
    OR(Dashboard_Query[[#This Row],[Monthly Allowance]]="",Dashboard_Query[[#This Row],[Current Usage]]=""),
    "",
    MAX(0,Dashboard_Query[[#This Row],[Monthly Allowance]]-Dashboard_Query[[#This Row],[Current Usage]])
)</f>
        <v>494.47</v>
      </c>
      <c r="S172" s="9">
        <f>IF(OR(Dashboard_Query[[#This Row],[Monthly Allowance]]="",Dashboard_Query[[#This Row],[Current Usage]]=""),"",Dashboard_Query[[#This Row],[Current Usage]]/Dashboard_Query[[#This Row],[Monthly Allowance]])</f>
        <v>1.106E-2</v>
      </c>
      <c r="T172" s="9">
        <f>IF(Dashboard_Query[[#This Row],[% Used]]="","",1-Dashboard_Query[[#This Row],[% Used]])</f>
        <v>0.98894000000000004</v>
      </c>
      <c r="U172" s="4">
        <f>IF(OR(Dashboard_Query[[#This Row],[Monthly Allowance]]="",Dashboard_Query[[#This Row],[Current Usage]]=""),"",MAX(0,Dashboard_Query[[#This Row],[Current Usage]]-Dashboard_Query[[#This Row],[Monthly Allowance]]))</f>
        <v>0</v>
      </c>
      <c r="V172" s="4" t="str">
        <f>IF(Dashboard_Query[[#This Row],[Monthly Allowance]]="","",IF(Dashboard_Query[[#This Row],[Overage]]&gt;0,"OVER",IF(Dashboard_Query[[#This Row],[% Used]]&gt;=0.8,"WARNING","OK")))</f>
        <v>OK</v>
      </c>
      <c r="W172" s="1"/>
      <c r="X172" s="1"/>
    </row>
    <row r="173" spans="1:24">
      <c r="A173" s="4" t="s">
        <v>295</v>
      </c>
      <c r="B173" s="4">
        <v>812804</v>
      </c>
      <c r="C173" s="4" t="s">
        <v>472</v>
      </c>
      <c r="D173" s="4" t="s">
        <v>393</v>
      </c>
      <c r="E173" s="4" t="s">
        <v>128</v>
      </c>
      <c r="F173" s="4">
        <v>211122084</v>
      </c>
      <c r="G173" s="6">
        <v>46248</v>
      </c>
      <c r="H173" s="6">
        <v>46248</v>
      </c>
      <c r="I173" s="32">
        <v>46279</v>
      </c>
      <c r="J173" s="1">
        <v>21</v>
      </c>
      <c r="K173" s="4">
        <v>500</v>
      </c>
      <c r="L173" s="4" t="s">
        <v>122</v>
      </c>
      <c r="M173" s="4" t="s">
        <v>123</v>
      </c>
      <c r="N173" s="6">
        <v>46248</v>
      </c>
      <c r="O173" s="1"/>
      <c r="P173" s="4">
        <v>5.9</v>
      </c>
      <c r="Q173" s="4">
        <v>5.53</v>
      </c>
      <c r="R173" s="4">
        <f>IF(
    OR(Dashboard_Query[[#This Row],[Monthly Allowance]]="",Dashboard_Query[[#This Row],[Current Usage]]=""),
    "",
    MAX(0,Dashboard_Query[[#This Row],[Monthly Allowance]]-Dashboard_Query[[#This Row],[Current Usage]])
)</f>
        <v>494.47</v>
      </c>
      <c r="S173" s="9">
        <f>IF(OR(Dashboard_Query[[#This Row],[Monthly Allowance]]="",Dashboard_Query[[#This Row],[Current Usage]]=""),"",Dashboard_Query[[#This Row],[Current Usage]]/Dashboard_Query[[#This Row],[Monthly Allowance]])</f>
        <v>1.106E-2</v>
      </c>
      <c r="T173" s="9">
        <f>IF(Dashboard_Query[[#This Row],[% Used]]="","",1-Dashboard_Query[[#This Row],[% Used]])</f>
        <v>0.98894000000000004</v>
      </c>
      <c r="U173" s="4">
        <f>IF(OR(Dashboard_Query[[#This Row],[Monthly Allowance]]="",Dashboard_Query[[#This Row],[Current Usage]]=""),"",MAX(0,Dashboard_Query[[#This Row],[Current Usage]]-Dashboard_Query[[#This Row],[Monthly Allowance]]))</f>
        <v>0</v>
      </c>
      <c r="V173" s="4" t="str">
        <f>IF(Dashboard_Query[[#This Row],[Monthly Allowance]]="","",IF(Dashboard_Query[[#This Row],[Overage]]&gt;0,"OVER",IF(Dashboard_Query[[#This Row],[% Used]]&gt;=0.8,"WARNING","OK")))</f>
        <v>OK</v>
      </c>
      <c r="W173" s="1"/>
      <c r="X173" s="1"/>
    </row>
    <row r="174" spans="1:24">
      <c r="A174" s="4" t="s">
        <v>287</v>
      </c>
      <c r="B174" s="4">
        <v>812830</v>
      </c>
      <c r="C174" s="4" t="s">
        <v>173</v>
      </c>
      <c r="D174" s="4" t="s">
        <v>174</v>
      </c>
      <c r="E174" s="4" t="s">
        <v>175</v>
      </c>
      <c r="F174" s="4">
        <v>211120714</v>
      </c>
      <c r="G174" s="6">
        <v>46204</v>
      </c>
      <c r="H174" s="6">
        <v>46235</v>
      </c>
      <c r="I174" s="32">
        <v>46266</v>
      </c>
      <c r="J174" s="1">
        <v>8</v>
      </c>
      <c r="K174" s="4">
        <v>500</v>
      </c>
      <c r="L174" s="4" t="s">
        <v>122</v>
      </c>
      <c r="M174" s="4" t="s">
        <v>123</v>
      </c>
      <c r="N174" s="6">
        <v>46235</v>
      </c>
      <c r="O174" s="1"/>
      <c r="P174" s="4">
        <v>5.51</v>
      </c>
      <c r="Q174" s="4">
        <v>5.51</v>
      </c>
      <c r="R174" s="4">
        <f>IF(
    OR(Dashboard_Query[[#This Row],[Monthly Allowance]]="",Dashboard_Query[[#This Row],[Current Usage]]=""),
    "",
    MAX(0,Dashboard_Query[[#This Row],[Monthly Allowance]]-Dashboard_Query[[#This Row],[Current Usage]])
)</f>
        <v>494.49</v>
      </c>
      <c r="S174" s="9">
        <f>IF(OR(Dashboard_Query[[#This Row],[Monthly Allowance]]="",Dashboard_Query[[#This Row],[Current Usage]]=""),"",Dashboard_Query[[#This Row],[Current Usage]]/Dashboard_Query[[#This Row],[Monthly Allowance]])</f>
        <v>1.102E-2</v>
      </c>
      <c r="T174" s="9">
        <f>IF(Dashboard_Query[[#This Row],[% Used]]="","",1-Dashboard_Query[[#This Row],[% Used]])</f>
        <v>0.98897999999999997</v>
      </c>
      <c r="U174" s="4">
        <f>IF(OR(Dashboard_Query[[#This Row],[Monthly Allowance]]="",Dashboard_Query[[#This Row],[Current Usage]]=""),"",MAX(0,Dashboard_Query[[#This Row],[Current Usage]]-Dashboard_Query[[#This Row],[Monthly Allowance]]))</f>
        <v>0</v>
      </c>
      <c r="V174" s="4" t="str">
        <f>IF(Dashboard_Query[[#This Row],[Monthly Allowance]]="","",IF(Dashboard_Query[[#This Row],[Overage]]&gt;0,"OVER",IF(Dashboard_Query[[#This Row],[% Used]]&gt;=0.8,"WARNING","OK")))</f>
        <v>OK</v>
      </c>
      <c r="W174" s="1"/>
      <c r="X174" s="1"/>
    </row>
    <row r="175" spans="1:24">
      <c r="A175" s="4" t="s">
        <v>165</v>
      </c>
      <c r="B175" s="4">
        <v>812929</v>
      </c>
      <c r="C175" s="4" t="s">
        <v>382</v>
      </c>
      <c r="D175" s="4" t="s">
        <v>386</v>
      </c>
      <c r="E175" s="4" t="s">
        <v>387</v>
      </c>
      <c r="F175" s="4">
        <v>211121871</v>
      </c>
      <c r="G175" s="6">
        <v>46244</v>
      </c>
      <c r="H175" s="6">
        <v>46244</v>
      </c>
      <c r="I175" s="32">
        <v>46275</v>
      </c>
      <c r="J175" s="1">
        <v>17</v>
      </c>
      <c r="K175" s="4">
        <v>1000</v>
      </c>
      <c r="L175" s="4" t="s">
        <v>122</v>
      </c>
      <c r="M175" s="4" t="s">
        <v>123</v>
      </c>
      <c r="N175" s="6">
        <v>46244</v>
      </c>
      <c r="O175" s="1"/>
      <c r="P175" s="4">
        <v>10.93</v>
      </c>
      <c r="Q175" s="4">
        <v>10.879999999999999</v>
      </c>
      <c r="R175" s="4">
        <f>IF(
    OR(Dashboard_Query[[#This Row],[Monthly Allowance]]="",Dashboard_Query[[#This Row],[Current Usage]]=""),
    "",
    MAX(0,Dashboard_Query[[#This Row],[Monthly Allowance]]-Dashboard_Query[[#This Row],[Current Usage]])
)</f>
        <v>989.12</v>
      </c>
      <c r="S175" s="9">
        <f>IF(OR(Dashboard_Query[[#This Row],[Monthly Allowance]]="",Dashboard_Query[[#This Row],[Current Usage]]=""),"",Dashboard_Query[[#This Row],[Current Usage]]/Dashboard_Query[[#This Row],[Monthly Allowance]])</f>
        <v>1.0879999999999999E-2</v>
      </c>
      <c r="T175" s="9">
        <f>IF(Dashboard_Query[[#This Row],[% Used]]="","",1-Dashboard_Query[[#This Row],[% Used]])</f>
        <v>0.98912</v>
      </c>
      <c r="U175" s="4">
        <f>IF(OR(Dashboard_Query[[#This Row],[Monthly Allowance]]="",Dashboard_Query[[#This Row],[Current Usage]]=""),"",MAX(0,Dashboard_Query[[#This Row],[Current Usage]]-Dashboard_Query[[#This Row],[Monthly Allowance]]))</f>
        <v>0</v>
      </c>
      <c r="V175" s="4" t="str">
        <f>IF(Dashboard_Query[[#This Row],[Monthly Allowance]]="","",IF(Dashboard_Query[[#This Row],[Overage]]&gt;0,"OVER",IF(Dashboard_Query[[#This Row],[% Used]]&gt;=0.8,"WARNING","OK")))</f>
        <v>OK</v>
      </c>
      <c r="W175" s="1"/>
      <c r="X175" s="1"/>
    </row>
    <row r="176" spans="1:24">
      <c r="A176" s="4" t="s">
        <v>344</v>
      </c>
      <c r="B176" s="4">
        <v>814485</v>
      </c>
      <c r="C176" s="4" t="s">
        <v>472</v>
      </c>
      <c r="D176" s="4" t="s">
        <v>393</v>
      </c>
      <c r="E176" s="4" t="s">
        <v>128</v>
      </c>
      <c r="F176" s="4">
        <v>211122084</v>
      </c>
      <c r="G176" s="6">
        <v>46248</v>
      </c>
      <c r="H176" s="6">
        <v>46248</v>
      </c>
      <c r="I176" s="32">
        <v>46279</v>
      </c>
      <c r="J176" s="1">
        <v>21</v>
      </c>
      <c r="K176" s="4">
        <v>500</v>
      </c>
      <c r="L176" s="4" t="s">
        <v>122</v>
      </c>
      <c r="M176" s="4" t="s">
        <v>123</v>
      </c>
      <c r="N176" s="6">
        <v>46248</v>
      </c>
      <c r="O176" s="1"/>
      <c r="P176" s="4">
        <v>5.37</v>
      </c>
      <c r="Q176" s="4">
        <v>5.37</v>
      </c>
      <c r="R176" s="4">
        <f>IF(
    OR(Dashboard_Query[[#This Row],[Monthly Allowance]]="",Dashboard_Query[[#This Row],[Current Usage]]=""),
    "",
    MAX(0,Dashboard_Query[[#This Row],[Monthly Allowance]]-Dashboard_Query[[#This Row],[Current Usage]])
)</f>
        <v>494.63</v>
      </c>
      <c r="S176" s="9">
        <f>IF(OR(Dashboard_Query[[#This Row],[Monthly Allowance]]="",Dashboard_Query[[#This Row],[Current Usage]]=""),"",Dashboard_Query[[#This Row],[Current Usage]]/Dashboard_Query[[#This Row],[Monthly Allowance]])</f>
        <v>1.074E-2</v>
      </c>
      <c r="T176" s="9">
        <f>IF(Dashboard_Query[[#This Row],[% Used]]="","",1-Dashboard_Query[[#This Row],[% Used]])</f>
        <v>0.98926000000000003</v>
      </c>
      <c r="U176" s="4">
        <f>IF(OR(Dashboard_Query[[#This Row],[Monthly Allowance]]="",Dashboard_Query[[#This Row],[Current Usage]]=""),"",MAX(0,Dashboard_Query[[#This Row],[Current Usage]]-Dashboard_Query[[#This Row],[Monthly Allowance]]))</f>
        <v>0</v>
      </c>
      <c r="V176" s="4" t="str">
        <f>IF(Dashboard_Query[[#This Row],[Monthly Allowance]]="","",IF(Dashboard_Query[[#This Row],[Overage]]&gt;0,"OVER",IF(Dashboard_Query[[#This Row],[% Used]]&gt;=0.8,"WARNING","OK")))</f>
        <v>OK</v>
      </c>
      <c r="W176" s="1"/>
      <c r="X176" s="1"/>
    </row>
    <row r="177" spans="1:24">
      <c r="A177" s="4" t="s">
        <v>309</v>
      </c>
      <c r="B177" s="4">
        <v>812814</v>
      </c>
      <c r="C177" s="4" t="s">
        <v>392</v>
      </c>
      <c r="D177" s="4" t="s">
        <v>393</v>
      </c>
      <c r="E177" s="4" t="s">
        <v>394</v>
      </c>
      <c r="F177" s="4">
        <v>211122081</v>
      </c>
      <c r="G177" s="6">
        <v>46248</v>
      </c>
      <c r="H177" s="6">
        <v>46248</v>
      </c>
      <c r="I177" s="32">
        <v>46279</v>
      </c>
      <c r="J177" s="1">
        <v>21</v>
      </c>
      <c r="K177" s="4">
        <v>500</v>
      </c>
      <c r="L177" s="4" t="s">
        <v>122</v>
      </c>
      <c r="M177" s="4" t="s">
        <v>123</v>
      </c>
      <c r="N177" s="6">
        <v>46248</v>
      </c>
      <c r="O177" s="1"/>
      <c r="P177" s="4">
        <v>4.8099999999999996</v>
      </c>
      <c r="Q177" s="4">
        <v>4.8099999999999996</v>
      </c>
      <c r="R177" s="4">
        <f>IF(
    OR(Dashboard_Query[[#This Row],[Monthly Allowance]]="",Dashboard_Query[[#This Row],[Current Usage]]=""),
    "",
    MAX(0,Dashboard_Query[[#This Row],[Monthly Allowance]]-Dashboard_Query[[#This Row],[Current Usage]])
)</f>
        <v>495.19</v>
      </c>
      <c r="S177" s="9">
        <f>IF(OR(Dashboard_Query[[#This Row],[Monthly Allowance]]="",Dashboard_Query[[#This Row],[Current Usage]]=""),"",Dashboard_Query[[#This Row],[Current Usage]]/Dashboard_Query[[#This Row],[Monthly Allowance]])</f>
        <v>9.6200000000000001E-3</v>
      </c>
      <c r="T177" s="9">
        <f>IF(Dashboard_Query[[#This Row],[% Used]]="","",1-Dashboard_Query[[#This Row],[% Used]])</f>
        <v>0.99038000000000004</v>
      </c>
      <c r="U177" s="4">
        <f>IF(OR(Dashboard_Query[[#This Row],[Monthly Allowance]]="",Dashboard_Query[[#This Row],[Current Usage]]=""),"",MAX(0,Dashboard_Query[[#This Row],[Current Usage]]-Dashboard_Query[[#This Row],[Monthly Allowance]]))</f>
        <v>0</v>
      </c>
      <c r="V177" s="4" t="str">
        <f>IF(Dashboard_Query[[#This Row],[Monthly Allowance]]="","",IF(Dashboard_Query[[#This Row],[Overage]]&gt;0,"OVER",IF(Dashboard_Query[[#This Row],[% Used]]&gt;=0.8,"WARNING","OK")))</f>
        <v>OK</v>
      </c>
      <c r="W177" s="1"/>
      <c r="X177" s="1"/>
    </row>
    <row r="178" spans="1:24">
      <c r="A178" s="4" t="s">
        <v>208</v>
      </c>
      <c r="B178" s="4">
        <v>812845</v>
      </c>
      <c r="C178" s="4" t="s">
        <v>388</v>
      </c>
      <c r="D178" s="4" t="s">
        <v>306</v>
      </c>
      <c r="E178" s="4" t="s">
        <v>389</v>
      </c>
      <c r="F178" s="4">
        <v>211121969</v>
      </c>
      <c r="G178" s="6">
        <v>46246</v>
      </c>
      <c r="H178" s="6">
        <v>46246</v>
      </c>
      <c r="I178" s="32">
        <v>46277</v>
      </c>
      <c r="J178" s="1">
        <v>19</v>
      </c>
      <c r="K178" s="4">
        <v>500</v>
      </c>
      <c r="L178" s="4" t="s">
        <v>122</v>
      </c>
      <c r="M178" s="4" t="s">
        <v>123</v>
      </c>
      <c r="N178" s="6">
        <v>46246</v>
      </c>
      <c r="O178" s="1"/>
      <c r="P178" s="4">
        <v>4.6500000000000004</v>
      </c>
      <c r="Q178" s="4">
        <v>4.6400000000000006</v>
      </c>
      <c r="R178" s="4">
        <f>IF(
    OR(Dashboard_Query[[#This Row],[Monthly Allowance]]="",Dashboard_Query[[#This Row],[Current Usage]]=""),
    "",
    MAX(0,Dashboard_Query[[#This Row],[Monthly Allowance]]-Dashboard_Query[[#This Row],[Current Usage]])
)</f>
        <v>495.36</v>
      </c>
      <c r="S178" s="9">
        <f>IF(OR(Dashboard_Query[[#This Row],[Monthly Allowance]]="",Dashboard_Query[[#This Row],[Current Usage]]=""),"",Dashboard_Query[[#This Row],[Current Usage]]/Dashboard_Query[[#This Row],[Monthly Allowance]])</f>
        <v>9.2800000000000018E-3</v>
      </c>
      <c r="T178" s="9">
        <f>IF(Dashboard_Query[[#This Row],[% Used]]="","",1-Dashboard_Query[[#This Row],[% Used]])</f>
        <v>0.99072000000000005</v>
      </c>
      <c r="U178" s="4">
        <f>IF(OR(Dashboard_Query[[#This Row],[Monthly Allowance]]="",Dashboard_Query[[#This Row],[Current Usage]]=""),"",MAX(0,Dashboard_Query[[#This Row],[Current Usage]]-Dashboard_Query[[#This Row],[Monthly Allowance]]))</f>
        <v>0</v>
      </c>
      <c r="V178" s="4" t="str">
        <f>IF(Dashboard_Query[[#This Row],[Monthly Allowance]]="","",IF(Dashboard_Query[[#This Row],[Overage]]&gt;0,"OVER",IF(Dashboard_Query[[#This Row],[% Used]]&gt;=0.8,"WARNING","OK")))</f>
        <v>OK</v>
      </c>
      <c r="W178" s="1"/>
      <c r="X178" s="1"/>
    </row>
    <row r="179" spans="1:24">
      <c r="A179" s="4" t="s">
        <v>333</v>
      </c>
      <c r="B179" s="4">
        <v>812923</v>
      </c>
      <c r="C179" s="4" t="s">
        <v>186</v>
      </c>
      <c r="D179" s="4" t="s">
        <v>187</v>
      </c>
      <c r="E179" s="4" t="s">
        <v>188</v>
      </c>
      <c r="F179" s="4">
        <v>211121633</v>
      </c>
      <c r="G179" s="6">
        <v>46237</v>
      </c>
      <c r="H179" s="6">
        <v>46237</v>
      </c>
      <c r="I179" s="32">
        <v>46268</v>
      </c>
      <c r="J179" s="1">
        <v>10</v>
      </c>
      <c r="K179" s="4">
        <v>1000</v>
      </c>
      <c r="L179" s="4" t="s">
        <v>122</v>
      </c>
      <c r="M179" s="4" t="s">
        <v>123</v>
      </c>
      <c r="N179" s="6">
        <v>46237</v>
      </c>
      <c r="O179" s="1"/>
      <c r="P179" s="4">
        <v>7.15</v>
      </c>
      <c r="Q179" s="4">
        <v>7.15</v>
      </c>
      <c r="R179" s="4">
        <f>IF(
    OR(Dashboard_Query[[#This Row],[Monthly Allowance]]="",Dashboard_Query[[#This Row],[Current Usage]]=""),
    "",
    MAX(0,Dashboard_Query[[#This Row],[Monthly Allowance]]-Dashboard_Query[[#This Row],[Current Usage]])
)</f>
        <v>992.85</v>
      </c>
      <c r="S179" s="9">
        <f>IF(OR(Dashboard_Query[[#This Row],[Monthly Allowance]]="",Dashboard_Query[[#This Row],[Current Usage]]=""),"",Dashboard_Query[[#This Row],[Current Usage]]/Dashboard_Query[[#This Row],[Monthly Allowance]])</f>
        <v>7.1500000000000001E-3</v>
      </c>
      <c r="T179" s="9">
        <f>IF(Dashboard_Query[[#This Row],[% Used]]="","",1-Dashboard_Query[[#This Row],[% Used]])</f>
        <v>0.99285000000000001</v>
      </c>
      <c r="U179" s="4">
        <f>IF(OR(Dashboard_Query[[#This Row],[Monthly Allowance]]="",Dashboard_Query[[#This Row],[Current Usage]]=""),"",MAX(0,Dashboard_Query[[#This Row],[Current Usage]]-Dashboard_Query[[#This Row],[Monthly Allowance]]))</f>
        <v>0</v>
      </c>
      <c r="V179" s="4" t="str">
        <f>IF(Dashboard_Query[[#This Row],[Monthly Allowance]]="","",IF(Dashboard_Query[[#This Row],[Overage]]&gt;0,"OVER",IF(Dashboard_Query[[#This Row],[% Used]]&gt;=0.8,"WARNING","OK")))</f>
        <v>OK</v>
      </c>
      <c r="W179" s="1"/>
      <c r="X179" s="1"/>
    </row>
    <row r="180" spans="1:24">
      <c r="A180" s="4" t="s">
        <v>240</v>
      </c>
      <c r="B180" s="4">
        <v>814457</v>
      </c>
      <c r="C180" s="4" t="s">
        <v>472</v>
      </c>
      <c r="D180" s="4" t="s">
        <v>393</v>
      </c>
      <c r="E180" s="4" t="s">
        <v>128</v>
      </c>
      <c r="F180" s="4">
        <v>211122084</v>
      </c>
      <c r="G180" s="6">
        <v>46248</v>
      </c>
      <c r="H180" s="6">
        <v>46248</v>
      </c>
      <c r="I180" s="32">
        <v>46279</v>
      </c>
      <c r="J180" s="1">
        <v>21</v>
      </c>
      <c r="K180" s="4">
        <v>500</v>
      </c>
      <c r="L180" s="4" t="s">
        <v>122</v>
      </c>
      <c r="M180" s="4" t="s">
        <v>123</v>
      </c>
      <c r="N180" s="6">
        <v>46248</v>
      </c>
      <c r="O180" s="1"/>
      <c r="P180" s="4">
        <v>18.53</v>
      </c>
      <c r="Q180" s="4">
        <v>3.4600000000000009</v>
      </c>
      <c r="R180" s="4">
        <f>IF(
    OR(Dashboard_Query[[#This Row],[Monthly Allowance]]="",Dashboard_Query[[#This Row],[Current Usage]]=""),
    "",
    MAX(0,Dashboard_Query[[#This Row],[Monthly Allowance]]-Dashboard_Query[[#This Row],[Current Usage]])
)</f>
        <v>496.54</v>
      </c>
      <c r="S180" s="9">
        <f>IF(OR(Dashboard_Query[[#This Row],[Monthly Allowance]]="",Dashboard_Query[[#This Row],[Current Usage]]=""),"",Dashboard_Query[[#This Row],[Current Usage]]/Dashboard_Query[[#This Row],[Monthly Allowance]])</f>
        <v>6.9200000000000017E-3</v>
      </c>
      <c r="T180" s="9">
        <f>IF(Dashboard_Query[[#This Row],[% Used]]="","",1-Dashboard_Query[[#This Row],[% Used]])</f>
        <v>0.99307999999999996</v>
      </c>
      <c r="U180" s="4">
        <f>IF(OR(Dashboard_Query[[#This Row],[Monthly Allowance]]="",Dashboard_Query[[#This Row],[Current Usage]]=""),"",MAX(0,Dashboard_Query[[#This Row],[Current Usage]]-Dashboard_Query[[#This Row],[Monthly Allowance]]))</f>
        <v>0</v>
      </c>
      <c r="V180" s="4" t="str">
        <f>IF(Dashboard_Query[[#This Row],[Monthly Allowance]]="","",IF(Dashboard_Query[[#This Row],[Overage]]&gt;0,"OVER",IF(Dashboard_Query[[#This Row],[% Used]]&gt;=0.8,"WARNING","OK")))</f>
        <v>OK</v>
      </c>
      <c r="W180" s="1"/>
      <c r="X180" s="1"/>
    </row>
    <row r="181" spans="1:24">
      <c r="A181" s="4" t="s">
        <v>233</v>
      </c>
      <c r="B181" s="4">
        <v>809865</v>
      </c>
      <c r="C181" s="4" t="s">
        <v>472</v>
      </c>
      <c r="D181" s="4" t="s">
        <v>393</v>
      </c>
      <c r="E181" s="4" t="s">
        <v>128</v>
      </c>
      <c r="F181" s="4">
        <v>211122084</v>
      </c>
      <c r="G181" s="6">
        <v>46248</v>
      </c>
      <c r="H181" s="6">
        <v>46248</v>
      </c>
      <c r="I181" s="32">
        <v>46279</v>
      </c>
      <c r="J181" s="1">
        <v>21</v>
      </c>
      <c r="K181" s="4">
        <v>500</v>
      </c>
      <c r="L181" s="4" t="s">
        <v>122</v>
      </c>
      <c r="M181" s="4" t="s">
        <v>123</v>
      </c>
      <c r="N181" s="6">
        <v>46248</v>
      </c>
      <c r="O181" s="1"/>
      <c r="P181" s="4">
        <v>3.43</v>
      </c>
      <c r="Q181" s="4">
        <v>3.43</v>
      </c>
      <c r="R181" s="4">
        <f>IF(
    OR(Dashboard_Query[[#This Row],[Monthly Allowance]]="",Dashboard_Query[[#This Row],[Current Usage]]=""),
    "",
    MAX(0,Dashboard_Query[[#This Row],[Monthly Allowance]]-Dashboard_Query[[#This Row],[Current Usage]])
)</f>
        <v>496.57</v>
      </c>
      <c r="S181" s="9">
        <f>IF(OR(Dashboard_Query[[#This Row],[Monthly Allowance]]="",Dashboard_Query[[#This Row],[Current Usage]]=""),"",Dashboard_Query[[#This Row],[Current Usage]]/Dashboard_Query[[#This Row],[Monthly Allowance]])</f>
        <v>6.8600000000000006E-3</v>
      </c>
      <c r="T181" s="9">
        <f>IF(Dashboard_Query[[#This Row],[% Used]]="","",1-Dashboard_Query[[#This Row],[% Used]])</f>
        <v>0.99314000000000002</v>
      </c>
      <c r="U181" s="4">
        <f>IF(OR(Dashboard_Query[[#This Row],[Monthly Allowance]]="",Dashboard_Query[[#This Row],[Current Usage]]=""),"",MAX(0,Dashboard_Query[[#This Row],[Current Usage]]-Dashboard_Query[[#This Row],[Monthly Allowance]]))</f>
        <v>0</v>
      </c>
      <c r="V181" s="4" t="str">
        <f>IF(Dashboard_Query[[#This Row],[Monthly Allowance]]="","",IF(Dashboard_Query[[#This Row],[Overage]]&gt;0,"OVER",IF(Dashboard_Query[[#This Row],[% Used]]&gt;=0.8,"WARNING","OK")))</f>
        <v>OK</v>
      </c>
      <c r="W181" s="1"/>
      <c r="X181" s="1"/>
    </row>
    <row r="182" spans="1:24">
      <c r="A182" s="4" t="s">
        <v>194</v>
      </c>
      <c r="B182" s="4">
        <v>809658</v>
      </c>
      <c r="C182" s="4" t="s">
        <v>472</v>
      </c>
      <c r="D182" s="4" t="s">
        <v>393</v>
      </c>
      <c r="E182" s="4" t="s">
        <v>128</v>
      </c>
      <c r="F182" s="4">
        <v>211122084</v>
      </c>
      <c r="G182" s="6">
        <v>46248</v>
      </c>
      <c r="H182" s="6">
        <v>46248</v>
      </c>
      <c r="I182" s="32">
        <v>46279</v>
      </c>
      <c r="J182" s="1">
        <v>21</v>
      </c>
      <c r="K182" s="4">
        <v>500</v>
      </c>
      <c r="L182" s="4" t="s">
        <v>122</v>
      </c>
      <c r="M182" s="4" t="s">
        <v>123</v>
      </c>
      <c r="N182" s="6">
        <v>46248</v>
      </c>
      <c r="O182" s="1"/>
      <c r="P182" s="4">
        <v>3.31</v>
      </c>
      <c r="Q182" s="4">
        <v>3.31</v>
      </c>
      <c r="R182" s="4">
        <f>IF(
    OR(Dashboard_Query[[#This Row],[Monthly Allowance]]="",Dashboard_Query[[#This Row],[Current Usage]]=""),
    "",
    MAX(0,Dashboard_Query[[#This Row],[Monthly Allowance]]-Dashboard_Query[[#This Row],[Current Usage]])
)</f>
        <v>496.69</v>
      </c>
      <c r="S182" s="9">
        <f>IF(OR(Dashboard_Query[[#This Row],[Monthly Allowance]]="",Dashboard_Query[[#This Row],[Current Usage]]=""),"",Dashboard_Query[[#This Row],[Current Usage]]/Dashboard_Query[[#This Row],[Monthly Allowance]])</f>
        <v>6.62E-3</v>
      </c>
      <c r="T182" s="9">
        <f>IF(Dashboard_Query[[#This Row],[% Used]]="","",1-Dashboard_Query[[#This Row],[% Used]])</f>
        <v>0.99338000000000004</v>
      </c>
      <c r="U182" s="4">
        <f>IF(OR(Dashboard_Query[[#This Row],[Monthly Allowance]]="",Dashboard_Query[[#This Row],[Current Usage]]=""),"",MAX(0,Dashboard_Query[[#This Row],[Current Usage]]-Dashboard_Query[[#This Row],[Monthly Allowance]]))</f>
        <v>0</v>
      </c>
      <c r="V182" s="4" t="str">
        <f>IF(Dashboard_Query[[#This Row],[Monthly Allowance]]="","",IF(Dashboard_Query[[#This Row],[Overage]]&gt;0,"OVER",IF(Dashboard_Query[[#This Row],[% Used]]&gt;=0.8,"WARNING","OK")))</f>
        <v>OK</v>
      </c>
      <c r="W182" s="1"/>
      <c r="X182" s="1"/>
    </row>
    <row r="183" spans="1:24">
      <c r="A183" s="4" t="s">
        <v>310</v>
      </c>
      <c r="B183" s="4">
        <v>812816</v>
      </c>
      <c r="C183" s="4" t="s">
        <v>472</v>
      </c>
      <c r="D183" s="4" t="s">
        <v>393</v>
      </c>
      <c r="E183" s="4" t="s">
        <v>128</v>
      </c>
      <c r="F183" s="4">
        <v>211122084</v>
      </c>
      <c r="G183" s="6">
        <v>46248</v>
      </c>
      <c r="H183" s="6">
        <v>46248</v>
      </c>
      <c r="I183" s="32">
        <v>46279</v>
      </c>
      <c r="J183" s="1">
        <v>21</v>
      </c>
      <c r="K183" s="4">
        <v>500</v>
      </c>
      <c r="L183" s="4" t="s">
        <v>122</v>
      </c>
      <c r="M183" s="4" t="s">
        <v>123</v>
      </c>
      <c r="N183" s="6">
        <v>46248</v>
      </c>
      <c r="O183" s="1"/>
      <c r="P183" s="4">
        <v>3.17</v>
      </c>
      <c r="Q183" s="4">
        <v>3.05</v>
      </c>
      <c r="R183" s="4">
        <f>IF(
    OR(Dashboard_Query[[#This Row],[Monthly Allowance]]="",Dashboard_Query[[#This Row],[Current Usage]]=""),
    "",
    MAX(0,Dashboard_Query[[#This Row],[Monthly Allowance]]-Dashboard_Query[[#This Row],[Current Usage]])
)</f>
        <v>496.95</v>
      </c>
      <c r="S183" s="9">
        <f>IF(OR(Dashboard_Query[[#This Row],[Monthly Allowance]]="",Dashboard_Query[[#This Row],[Current Usage]]=""),"",Dashboard_Query[[#This Row],[Current Usage]]/Dashboard_Query[[#This Row],[Monthly Allowance]])</f>
        <v>6.0999999999999995E-3</v>
      </c>
      <c r="T183" s="9">
        <f>IF(Dashboard_Query[[#This Row],[% Used]]="","",1-Dashboard_Query[[#This Row],[% Used]])</f>
        <v>0.99390000000000001</v>
      </c>
      <c r="U183" s="4">
        <f>IF(OR(Dashboard_Query[[#This Row],[Monthly Allowance]]="",Dashboard_Query[[#This Row],[Current Usage]]=""),"",MAX(0,Dashboard_Query[[#This Row],[Current Usage]]-Dashboard_Query[[#This Row],[Monthly Allowance]]))</f>
        <v>0</v>
      </c>
      <c r="V183" s="4" t="str">
        <f>IF(Dashboard_Query[[#This Row],[Monthly Allowance]]="","",IF(Dashboard_Query[[#This Row],[Overage]]&gt;0,"OVER",IF(Dashboard_Query[[#This Row],[% Used]]&gt;=0.8,"WARNING","OK")))</f>
        <v>OK</v>
      </c>
      <c r="W183" s="1"/>
      <c r="X183" s="1"/>
    </row>
    <row r="184" spans="1:24">
      <c r="A184" s="4" t="s">
        <v>278</v>
      </c>
      <c r="B184" s="4">
        <v>809877</v>
      </c>
      <c r="C184" s="4" t="s">
        <v>472</v>
      </c>
      <c r="D184" s="4" t="s">
        <v>393</v>
      </c>
      <c r="E184" s="4" t="s">
        <v>128</v>
      </c>
      <c r="F184" s="4">
        <v>211122084</v>
      </c>
      <c r="G184" s="6">
        <v>46248</v>
      </c>
      <c r="H184" s="6">
        <v>46248</v>
      </c>
      <c r="I184" s="32">
        <v>46279</v>
      </c>
      <c r="J184" s="1">
        <v>21</v>
      </c>
      <c r="K184" s="4">
        <v>500</v>
      </c>
      <c r="L184" s="4" t="s">
        <v>122</v>
      </c>
      <c r="M184" s="4" t="s">
        <v>123</v>
      </c>
      <c r="N184" s="6">
        <v>46248</v>
      </c>
      <c r="O184" s="1"/>
      <c r="P184" s="4">
        <v>2.96</v>
      </c>
      <c r="Q184" s="4">
        <v>2.92</v>
      </c>
      <c r="R184" s="4">
        <f>IF(
    OR(Dashboard_Query[[#This Row],[Monthly Allowance]]="",Dashboard_Query[[#This Row],[Current Usage]]=""),
    "",
    MAX(0,Dashboard_Query[[#This Row],[Monthly Allowance]]-Dashboard_Query[[#This Row],[Current Usage]])
)</f>
        <v>497.08</v>
      </c>
      <c r="S184" s="9">
        <f>IF(OR(Dashboard_Query[[#This Row],[Monthly Allowance]]="",Dashboard_Query[[#This Row],[Current Usage]]=""),"",Dashboard_Query[[#This Row],[Current Usage]]/Dashboard_Query[[#This Row],[Monthly Allowance]])</f>
        <v>5.8399999999999997E-3</v>
      </c>
      <c r="T184" s="9">
        <f>IF(Dashboard_Query[[#This Row],[% Used]]="","",1-Dashboard_Query[[#This Row],[% Used]])</f>
        <v>0.99416000000000004</v>
      </c>
      <c r="U184" s="4">
        <f>IF(OR(Dashboard_Query[[#This Row],[Monthly Allowance]]="",Dashboard_Query[[#This Row],[Current Usage]]=""),"",MAX(0,Dashboard_Query[[#This Row],[Current Usage]]-Dashboard_Query[[#This Row],[Monthly Allowance]]))</f>
        <v>0</v>
      </c>
      <c r="V184" s="4" t="str">
        <f>IF(Dashboard_Query[[#This Row],[Monthly Allowance]]="","",IF(Dashboard_Query[[#This Row],[Overage]]&gt;0,"OVER",IF(Dashboard_Query[[#This Row],[% Used]]&gt;=0.8,"WARNING","OK")))</f>
        <v>OK</v>
      </c>
      <c r="W184" s="1"/>
      <c r="X184" s="1"/>
    </row>
    <row r="185" spans="1:24">
      <c r="A185" s="4" t="s">
        <v>241</v>
      </c>
      <c r="B185" s="4">
        <v>814486</v>
      </c>
      <c r="C185" s="4" t="s">
        <v>383</v>
      </c>
      <c r="D185" s="4" t="s">
        <v>180</v>
      </c>
      <c r="E185" s="4" t="s">
        <v>384</v>
      </c>
      <c r="F185" s="4">
        <v>211121827</v>
      </c>
      <c r="G185" s="6">
        <v>46241</v>
      </c>
      <c r="H185" s="6">
        <v>46241</v>
      </c>
      <c r="I185" s="32">
        <v>46272</v>
      </c>
      <c r="J185" s="1">
        <v>14</v>
      </c>
      <c r="K185" s="4">
        <v>500</v>
      </c>
      <c r="L185" s="4" t="s">
        <v>122</v>
      </c>
      <c r="M185" s="4" t="s">
        <v>123</v>
      </c>
      <c r="N185" s="6">
        <v>46241</v>
      </c>
      <c r="O185" s="1"/>
      <c r="P185" s="4">
        <v>5.9</v>
      </c>
      <c r="Q185" s="4">
        <v>2.8100000000000005</v>
      </c>
      <c r="R185" s="4">
        <f>IF(
    OR(Dashboard_Query[[#This Row],[Monthly Allowance]]="",Dashboard_Query[[#This Row],[Current Usage]]=""),
    "",
    MAX(0,Dashboard_Query[[#This Row],[Monthly Allowance]]-Dashboard_Query[[#This Row],[Current Usage]])
)</f>
        <v>497.19</v>
      </c>
      <c r="S185" s="9">
        <f>IF(OR(Dashboard_Query[[#This Row],[Monthly Allowance]]="",Dashboard_Query[[#This Row],[Current Usage]]=""),"",Dashboard_Query[[#This Row],[Current Usage]]/Dashboard_Query[[#This Row],[Monthly Allowance]])</f>
        <v>5.6200000000000009E-3</v>
      </c>
      <c r="T185" s="9">
        <f>IF(Dashboard_Query[[#This Row],[% Used]]="","",1-Dashboard_Query[[#This Row],[% Used]])</f>
        <v>0.99438000000000004</v>
      </c>
      <c r="U185" s="4">
        <f>IF(OR(Dashboard_Query[[#This Row],[Monthly Allowance]]="",Dashboard_Query[[#This Row],[Current Usage]]=""),"",MAX(0,Dashboard_Query[[#This Row],[Current Usage]]-Dashboard_Query[[#This Row],[Monthly Allowance]]))</f>
        <v>0</v>
      </c>
      <c r="V185" s="4" t="str">
        <f>IF(Dashboard_Query[[#This Row],[Monthly Allowance]]="","",IF(Dashboard_Query[[#This Row],[Overage]]&gt;0,"OVER",IF(Dashboard_Query[[#This Row],[% Used]]&gt;=0.8,"WARNING","OK")))</f>
        <v>OK</v>
      </c>
      <c r="W185" s="1"/>
      <c r="X185" s="1"/>
    </row>
    <row r="186" spans="1:24">
      <c r="A186" s="4" t="s">
        <v>247</v>
      </c>
      <c r="B186" s="4">
        <v>812809</v>
      </c>
      <c r="C186" s="4" t="s">
        <v>472</v>
      </c>
      <c r="D186" s="4" t="s">
        <v>393</v>
      </c>
      <c r="E186" s="4" t="s">
        <v>128</v>
      </c>
      <c r="F186" s="4">
        <v>211122084</v>
      </c>
      <c r="G186" s="6">
        <v>46248</v>
      </c>
      <c r="H186" s="6">
        <v>46248</v>
      </c>
      <c r="I186" s="32">
        <v>46279</v>
      </c>
      <c r="J186" s="1">
        <v>21</v>
      </c>
      <c r="K186" s="4">
        <v>500</v>
      </c>
      <c r="L186" s="4" t="s">
        <v>122</v>
      </c>
      <c r="M186" s="4" t="s">
        <v>123</v>
      </c>
      <c r="N186" s="6">
        <v>46248</v>
      </c>
      <c r="O186" s="1"/>
      <c r="P186" s="4">
        <v>13.39</v>
      </c>
      <c r="Q186" s="4">
        <v>2.66</v>
      </c>
      <c r="R186" s="4">
        <f>IF(
    OR(Dashboard_Query[[#This Row],[Monthly Allowance]]="",Dashboard_Query[[#This Row],[Current Usage]]=""),
    "",
    MAX(0,Dashboard_Query[[#This Row],[Monthly Allowance]]-Dashboard_Query[[#This Row],[Current Usage]])
)</f>
        <v>497.34</v>
      </c>
      <c r="S186" s="9">
        <f>IF(OR(Dashboard_Query[[#This Row],[Monthly Allowance]]="",Dashboard_Query[[#This Row],[Current Usage]]=""),"",Dashboard_Query[[#This Row],[Current Usage]]/Dashboard_Query[[#This Row],[Monthly Allowance]])</f>
        <v>5.3200000000000001E-3</v>
      </c>
      <c r="T186" s="9">
        <f>IF(Dashboard_Query[[#This Row],[% Used]]="","",1-Dashboard_Query[[#This Row],[% Used]])</f>
        <v>0.99468000000000001</v>
      </c>
      <c r="U186" s="4">
        <f>IF(OR(Dashboard_Query[[#This Row],[Monthly Allowance]]="",Dashboard_Query[[#This Row],[Current Usage]]=""),"",MAX(0,Dashboard_Query[[#This Row],[Current Usage]]-Dashboard_Query[[#This Row],[Monthly Allowance]]))</f>
        <v>0</v>
      </c>
      <c r="V186" s="4" t="str">
        <f>IF(Dashboard_Query[[#This Row],[Monthly Allowance]]="","",IF(Dashboard_Query[[#This Row],[Overage]]&gt;0,"OVER",IF(Dashboard_Query[[#This Row],[% Used]]&gt;=0.8,"WARNING","OK")))</f>
        <v>OK</v>
      </c>
      <c r="W186" s="1"/>
      <c r="X186" s="1"/>
    </row>
    <row r="187" spans="1:24" hidden="1">
      <c r="A187" s="4" t="s">
        <v>273</v>
      </c>
      <c r="B187" s="4">
        <v>814438</v>
      </c>
      <c r="C187" s="4"/>
      <c r="D187" s="4"/>
      <c r="E187" s="4"/>
      <c r="F187" s="4"/>
      <c r="G187" s="6"/>
      <c r="H187" s="6"/>
      <c r="I187" s="32"/>
      <c r="J187" s="1"/>
      <c r="K187" s="4">
        <v>500</v>
      </c>
      <c r="L187" s="4" t="s">
        <v>122</v>
      </c>
      <c r="M187" s="4" t="s">
        <v>35</v>
      </c>
      <c r="N187" s="6"/>
      <c r="O187" s="1"/>
      <c r="P187" s="4">
        <v>0.05</v>
      </c>
      <c r="Q187" s="4">
        <v>2.6599999999999993</v>
      </c>
      <c r="R187" s="4">
        <f>IF(
    OR(Dashboard_Query[[#This Row],[Monthly Allowance]]="",Dashboard_Query[[#This Row],[Current Usage]]=""),
    "",
    MAX(0,Dashboard_Query[[#This Row],[Monthly Allowance]]-Dashboard_Query[[#This Row],[Current Usage]])
)</f>
        <v>497.34</v>
      </c>
      <c r="S187" s="9">
        <f>IF(OR(Dashboard_Query[[#This Row],[Monthly Allowance]]="",Dashboard_Query[[#This Row],[Current Usage]]=""),"",Dashboard_Query[[#This Row],[Current Usage]]/Dashboard_Query[[#This Row],[Monthly Allowance]])</f>
        <v>5.3199999999999983E-3</v>
      </c>
      <c r="T187" s="9">
        <f>IF(Dashboard_Query[[#This Row],[% Used]]="","",1-Dashboard_Query[[#This Row],[% Used]])</f>
        <v>0.99468000000000001</v>
      </c>
      <c r="U187" s="4">
        <f>IF(OR(Dashboard_Query[[#This Row],[Monthly Allowance]]="",Dashboard_Query[[#This Row],[Current Usage]]=""),"",MAX(0,Dashboard_Query[[#This Row],[Current Usage]]-Dashboard_Query[[#This Row],[Monthly Allowance]]))</f>
        <v>0</v>
      </c>
      <c r="V187" s="4" t="str">
        <f>IF(Dashboard_Query[[#This Row],[Monthly Allowance]]="","",IF(Dashboard_Query[[#This Row],[Overage]]&gt;0,"OVER",IF(Dashboard_Query[[#This Row],[% Used]]&gt;=0.8,"WARNING","OK")))</f>
        <v>OK</v>
      </c>
      <c r="W187" s="1"/>
      <c r="X187" s="1"/>
    </row>
    <row r="188" spans="1:24">
      <c r="A188" s="4" t="s">
        <v>323</v>
      </c>
      <c r="B188" s="4">
        <v>809616</v>
      </c>
      <c r="C188" s="4" t="s">
        <v>392</v>
      </c>
      <c r="D188" s="4" t="s">
        <v>393</v>
      </c>
      <c r="E188" s="4" t="s">
        <v>394</v>
      </c>
      <c r="F188" s="4">
        <v>211122081</v>
      </c>
      <c r="G188" s="6">
        <v>46248</v>
      </c>
      <c r="H188" s="6">
        <v>46248</v>
      </c>
      <c r="I188" s="32">
        <v>46279</v>
      </c>
      <c r="J188" s="1">
        <v>21</v>
      </c>
      <c r="K188" s="4">
        <v>500</v>
      </c>
      <c r="L188" s="4" t="s">
        <v>122</v>
      </c>
      <c r="M188" s="4" t="s">
        <v>123</v>
      </c>
      <c r="N188" s="6">
        <v>46248</v>
      </c>
      <c r="O188" s="1"/>
      <c r="P188" s="4">
        <v>2.61</v>
      </c>
      <c r="Q188" s="4">
        <v>2.61</v>
      </c>
      <c r="R188" s="4">
        <f>IF(
    OR(Dashboard_Query[[#This Row],[Monthly Allowance]]="",Dashboard_Query[[#This Row],[Current Usage]]=""),
    "",
    MAX(0,Dashboard_Query[[#This Row],[Monthly Allowance]]-Dashboard_Query[[#This Row],[Current Usage]])
)</f>
        <v>497.39</v>
      </c>
      <c r="S188" s="9">
        <f>IF(OR(Dashboard_Query[[#This Row],[Monthly Allowance]]="",Dashboard_Query[[#This Row],[Current Usage]]=""),"",Dashboard_Query[[#This Row],[Current Usage]]/Dashboard_Query[[#This Row],[Monthly Allowance]])</f>
        <v>5.2199999999999998E-3</v>
      </c>
      <c r="T188" s="9">
        <f>IF(Dashboard_Query[[#This Row],[% Used]]="","",1-Dashboard_Query[[#This Row],[% Used]])</f>
        <v>0.99478</v>
      </c>
      <c r="U188" s="4">
        <f>IF(OR(Dashboard_Query[[#This Row],[Monthly Allowance]]="",Dashboard_Query[[#This Row],[Current Usage]]=""),"",MAX(0,Dashboard_Query[[#This Row],[Current Usage]]-Dashboard_Query[[#This Row],[Monthly Allowance]]))</f>
        <v>0</v>
      </c>
      <c r="V188" s="4" t="str">
        <f>IF(Dashboard_Query[[#This Row],[Monthly Allowance]]="","",IF(Dashboard_Query[[#This Row],[Overage]]&gt;0,"OVER",IF(Dashboard_Query[[#This Row],[% Used]]&gt;=0.8,"WARNING","OK")))</f>
        <v>OK</v>
      </c>
      <c r="W188" s="1"/>
      <c r="X188" s="1"/>
    </row>
    <row r="189" spans="1:24">
      <c r="A189" s="4" t="s">
        <v>285</v>
      </c>
      <c r="B189" s="4">
        <v>809660</v>
      </c>
      <c r="C189" s="4" t="s">
        <v>388</v>
      </c>
      <c r="D189" s="4" t="s">
        <v>306</v>
      </c>
      <c r="E189" s="4" t="s">
        <v>389</v>
      </c>
      <c r="F189" s="4">
        <v>211121969</v>
      </c>
      <c r="G189" s="6">
        <v>46246</v>
      </c>
      <c r="H189" s="6">
        <v>46246</v>
      </c>
      <c r="I189" s="32">
        <v>46277</v>
      </c>
      <c r="J189" s="1">
        <v>19</v>
      </c>
      <c r="K189" s="4">
        <v>500</v>
      </c>
      <c r="L189" s="4" t="s">
        <v>122</v>
      </c>
      <c r="M189" s="4" t="s">
        <v>123</v>
      </c>
      <c r="N189" s="6">
        <v>46246</v>
      </c>
      <c r="O189" s="1"/>
      <c r="P189" s="4">
        <v>2.56</v>
      </c>
      <c r="Q189" s="4">
        <v>2.5500000000000003</v>
      </c>
      <c r="R189" s="4">
        <f>IF(
    OR(Dashboard_Query[[#This Row],[Monthly Allowance]]="",Dashboard_Query[[#This Row],[Current Usage]]=""),
    "",
    MAX(0,Dashboard_Query[[#This Row],[Monthly Allowance]]-Dashboard_Query[[#This Row],[Current Usage]])
)</f>
        <v>497.45</v>
      </c>
      <c r="S189" s="9">
        <f>IF(OR(Dashboard_Query[[#This Row],[Monthly Allowance]]="",Dashboard_Query[[#This Row],[Current Usage]]=""),"",Dashboard_Query[[#This Row],[Current Usage]]/Dashboard_Query[[#This Row],[Monthly Allowance]])</f>
        <v>5.1000000000000004E-3</v>
      </c>
      <c r="T189" s="9">
        <f>IF(Dashboard_Query[[#This Row],[% Used]]="","",1-Dashboard_Query[[#This Row],[% Used]])</f>
        <v>0.99490000000000001</v>
      </c>
      <c r="U189" s="4">
        <f>IF(OR(Dashboard_Query[[#This Row],[Monthly Allowance]]="",Dashboard_Query[[#This Row],[Current Usage]]=""),"",MAX(0,Dashboard_Query[[#This Row],[Current Usage]]-Dashboard_Query[[#This Row],[Monthly Allowance]]))</f>
        <v>0</v>
      </c>
      <c r="V189" s="4" t="str">
        <f>IF(Dashboard_Query[[#This Row],[Monthly Allowance]]="","",IF(Dashboard_Query[[#This Row],[Overage]]&gt;0,"OVER",IF(Dashboard_Query[[#This Row],[% Used]]&gt;=0.8,"WARNING","OK")))</f>
        <v>OK</v>
      </c>
      <c r="W189" s="1"/>
      <c r="X189" s="1"/>
    </row>
    <row r="190" spans="1:24" hidden="1">
      <c r="A190" s="4" t="s">
        <v>275</v>
      </c>
      <c r="B190" s="4">
        <v>812833</v>
      </c>
      <c r="C190" s="4"/>
      <c r="D190" s="4"/>
      <c r="E190" s="4"/>
      <c r="F190" s="4"/>
      <c r="G190" s="6"/>
      <c r="H190" s="6"/>
      <c r="I190" s="32"/>
      <c r="J190" s="1"/>
      <c r="K190" s="4">
        <v>500</v>
      </c>
      <c r="L190" s="4" t="s">
        <v>122</v>
      </c>
      <c r="M190" s="4" t="s">
        <v>35</v>
      </c>
      <c r="N190" s="6"/>
      <c r="O190" s="1"/>
      <c r="P190" s="4">
        <v>0</v>
      </c>
      <c r="Q190" s="4">
        <v>2.4600000000000009</v>
      </c>
      <c r="R190" s="4">
        <f>IF(
    OR(Dashboard_Query[[#This Row],[Monthly Allowance]]="",Dashboard_Query[[#This Row],[Current Usage]]=""),
    "",
    MAX(0,Dashboard_Query[[#This Row],[Monthly Allowance]]-Dashboard_Query[[#This Row],[Current Usage]])
)</f>
        <v>497.54</v>
      </c>
      <c r="S190" s="9">
        <f>IF(OR(Dashboard_Query[[#This Row],[Monthly Allowance]]="",Dashboard_Query[[#This Row],[Current Usage]]=""),"",Dashboard_Query[[#This Row],[Current Usage]]/Dashboard_Query[[#This Row],[Monthly Allowance]])</f>
        <v>4.9200000000000016E-3</v>
      </c>
      <c r="T190" s="9">
        <f>IF(Dashboard_Query[[#This Row],[% Used]]="","",1-Dashboard_Query[[#This Row],[% Used]])</f>
        <v>0.99507999999999996</v>
      </c>
      <c r="U190" s="4">
        <f>IF(OR(Dashboard_Query[[#This Row],[Monthly Allowance]]="",Dashboard_Query[[#This Row],[Current Usage]]=""),"",MAX(0,Dashboard_Query[[#This Row],[Current Usage]]-Dashboard_Query[[#This Row],[Monthly Allowance]]))</f>
        <v>0</v>
      </c>
      <c r="V190" s="4" t="str">
        <f>IF(Dashboard_Query[[#This Row],[Monthly Allowance]]="","",IF(Dashboard_Query[[#This Row],[Overage]]&gt;0,"OVER",IF(Dashboard_Query[[#This Row],[% Used]]&gt;=0.8,"WARNING","OK")))</f>
        <v>OK</v>
      </c>
      <c r="W190" s="1"/>
      <c r="X190" s="1"/>
    </row>
    <row r="191" spans="1:24">
      <c r="A191" s="4" t="s">
        <v>190</v>
      </c>
      <c r="B191" s="4">
        <v>814476</v>
      </c>
      <c r="C191" s="4" t="s">
        <v>472</v>
      </c>
      <c r="D191" s="4" t="s">
        <v>393</v>
      </c>
      <c r="E191" s="4" t="s">
        <v>128</v>
      </c>
      <c r="F191" s="4">
        <v>211122084</v>
      </c>
      <c r="G191" s="6">
        <v>46248</v>
      </c>
      <c r="H191" s="6">
        <v>46248</v>
      </c>
      <c r="I191" s="32">
        <v>46279</v>
      </c>
      <c r="J191" s="1">
        <v>21</v>
      </c>
      <c r="K191" s="4">
        <v>500</v>
      </c>
      <c r="L191" s="4" t="s">
        <v>122</v>
      </c>
      <c r="M191" s="4" t="s">
        <v>123</v>
      </c>
      <c r="N191" s="6">
        <v>46248</v>
      </c>
      <c r="O191" s="1"/>
      <c r="P191" s="4">
        <v>43.66</v>
      </c>
      <c r="Q191" s="4">
        <v>1.9499999999999957</v>
      </c>
      <c r="R191" s="4">
        <f>IF(
    OR(Dashboard_Query[[#This Row],[Monthly Allowance]]="",Dashboard_Query[[#This Row],[Current Usage]]=""),
    "",
    MAX(0,Dashboard_Query[[#This Row],[Monthly Allowance]]-Dashboard_Query[[#This Row],[Current Usage]])
)</f>
        <v>498.05</v>
      </c>
      <c r="S191" s="9">
        <f>IF(OR(Dashboard_Query[[#This Row],[Monthly Allowance]]="",Dashboard_Query[[#This Row],[Current Usage]]=""),"",Dashboard_Query[[#This Row],[Current Usage]]/Dashboard_Query[[#This Row],[Monthly Allowance]])</f>
        <v>3.8999999999999916E-3</v>
      </c>
      <c r="T191" s="9">
        <f>IF(Dashboard_Query[[#This Row],[% Used]]="","",1-Dashboard_Query[[#This Row],[% Used]])</f>
        <v>0.99609999999999999</v>
      </c>
      <c r="U191" s="4">
        <f>IF(OR(Dashboard_Query[[#This Row],[Monthly Allowance]]="",Dashboard_Query[[#This Row],[Current Usage]]=""),"",MAX(0,Dashboard_Query[[#This Row],[Current Usage]]-Dashboard_Query[[#This Row],[Monthly Allowance]]))</f>
        <v>0</v>
      </c>
      <c r="V191" s="4" t="str">
        <f>IF(Dashboard_Query[[#This Row],[Monthly Allowance]]="","",IF(Dashboard_Query[[#This Row],[Overage]]&gt;0,"OVER",IF(Dashboard_Query[[#This Row],[% Used]]&gt;=0.8,"WARNING","OK")))</f>
        <v>OK</v>
      </c>
      <c r="W191" s="1"/>
      <c r="X191" s="1"/>
    </row>
    <row r="192" spans="1:24">
      <c r="A192" s="4" t="s">
        <v>110</v>
      </c>
      <c r="B192" s="4">
        <v>816082</v>
      </c>
      <c r="C192" s="4" t="s">
        <v>472</v>
      </c>
      <c r="D192" s="4" t="s">
        <v>393</v>
      </c>
      <c r="E192" s="4" t="s">
        <v>128</v>
      </c>
      <c r="F192" s="4">
        <v>211122084</v>
      </c>
      <c r="G192" s="6">
        <v>46248</v>
      </c>
      <c r="H192" s="6">
        <v>46248</v>
      </c>
      <c r="I192" s="32">
        <v>46279</v>
      </c>
      <c r="J192" s="1">
        <v>21</v>
      </c>
      <c r="K192" s="4">
        <v>500</v>
      </c>
      <c r="L192" s="4" t="s">
        <v>122</v>
      </c>
      <c r="M192" s="4" t="s">
        <v>123</v>
      </c>
      <c r="N192" s="6">
        <v>46248</v>
      </c>
      <c r="O192" s="1"/>
      <c r="P192" s="4">
        <v>2.02</v>
      </c>
      <c r="Q192" s="4">
        <v>1.93</v>
      </c>
      <c r="R192" s="4">
        <f>IF(
    OR(Dashboard_Query[[#This Row],[Monthly Allowance]]="",Dashboard_Query[[#This Row],[Current Usage]]=""),
    "",
    MAX(0,Dashboard_Query[[#This Row],[Monthly Allowance]]-Dashboard_Query[[#This Row],[Current Usage]])
)</f>
        <v>498.07</v>
      </c>
      <c r="S192" s="9">
        <f>IF(OR(Dashboard_Query[[#This Row],[Monthly Allowance]]="",Dashboard_Query[[#This Row],[Current Usage]]=""),"",Dashboard_Query[[#This Row],[Current Usage]]/Dashboard_Query[[#This Row],[Monthly Allowance]])</f>
        <v>3.8599999999999997E-3</v>
      </c>
      <c r="T192" s="9">
        <f>IF(Dashboard_Query[[#This Row],[% Used]]="","",1-Dashboard_Query[[#This Row],[% Used]])</f>
        <v>0.99614000000000003</v>
      </c>
      <c r="U192" s="4">
        <f>IF(OR(Dashboard_Query[[#This Row],[Monthly Allowance]]="",Dashboard_Query[[#This Row],[Current Usage]]=""),"",MAX(0,Dashboard_Query[[#This Row],[Current Usage]]-Dashboard_Query[[#This Row],[Monthly Allowance]]))</f>
        <v>0</v>
      </c>
      <c r="V192" s="4" t="str">
        <f>IF(Dashboard_Query[[#This Row],[Monthly Allowance]]="","",IF(Dashboard_Query[[#This Row],[Overage]]&gt;0,"OVER",IF(Dashboard_Query[[#This Row],[% Used]]&gt;=0.8,"WARNING","OK")))</f>
        <v>OK</v>
      </c>
      <c r="W192" s="1"/>
      <c r="X192" s="1"/>
    </row>
    <row r="193" spans="1:24">
      <c r="A193" s="4" t="s">
        <v>250</v>
      </c>
      <c r="B193" s="4">
        <v>814437</v>
      </c>
      <c r="C193" s="4" t="s">
        <v>392</v>
      </c>
      <c r="D193" s="4" t="s">
        <v>393</v>
      </c>
      <c r="E193" s="4" t="s">
        <v>394</v>
      </c>
      <c r="F193" s="4">
        <v>211122081</v>
      </c>
      <c r="G193" s="6">
        <v>46248</v>
      </c>
      <c r="H193" s="6">
        <v>46248</v>
      </c>
      <c r="I193" s="32">
        <v>46279</v>
      </c>
      <c r="J193" s="1">
        <v>21</v>
      </c>
      <c r="K193" s="4">
        <v>500</v>
      </c>
      <c r="L193" s="4" t="s">
        <v>122</v>
      </c>
      <c r="M193" s="4" t="s">
        <v>123</v>
      </c>
      <c r="N193" s="6">
        <v>46248</v>
      </c>
      <c r="O193" s="1"/>
      <c r="P193" s="4">
        <v>10.96</v>
      </c>
      <c r="Q193" s="4">
        <v>1.5900000000000016</v>
      </c>
      <c r="R193" s="4">
        <f>IF(
    OR(Dashboard_Query[[#This Row],[Monthly Allowance]]="",Dashboard_Query[[#This Row],[Current Usage]]=""),
    "",
    MAX(0,Dashboard_Query[[#This Row],[Monthly Allowance]]-Dashboard_Query[[#This Row],[Current Usage]])
)</f>
        <v>498.41</v>
      </c>
      <c r="S193" s="9">
        <f>IF(OR(Dashboard_Query[[#This Row],[Monthly Allowance]]="",Dashboard_Query[[#This Row],[Current Usage]]=""),"",Dashboard_Query[[#This Row],[Current Usage]]/Dashboard_Query[[#This Row],[Monthly Allowance]])</f>
        <v>3.1800000000000031E-3</v>
      </c>
      <c r="T193" s="9">
        <f>IF(Dashboard_Query[[#This Row],[% Used]]="","",1-Dashboard_Query[[#This Row],[% Used]])</f>
        <v>0.99682000000000004</v>
      </c>
      <c r="U193" s="4">
        <f>IF(OR(Dashboard_Query[[#This Row],[Monthly Allowance]]="",Dashboard_Query[[#This Row],[Current Usage]]=""),"",MAX(0,Dashboard_Query[[#This Row],[Current Usage]]-Dashboard_Query[[#This Row],[Monthly Allowance]]))</f>
        <v>0</v>
      </c>
      <c r="V193" s="4" t="str">
        <f>IF(Dashboard_Query[[#This Row],[Monthly Allowance]]="","",IF(Dashboard_Query[[#This Row],[Overage]]&gt;0,"OVER",IF(Dashboard_Query[[#This Row],[% Used]]&gt;=0.8,"WARNING","OK")))</f>
        <v>OK</v>
      </c>
      <c r="W193" s="1"/>
      <c r="X193" s="1"/>
    </row>
    <row r="194" spans="1:24">
      <c r="A194" s="4" t="s">
        <v>76</v>
      </c>
      <c r="B194" s="4">
        <v>816192</v>
      </c>
      <c r="C194" s="4" t="s">
        <v>392</v>
      </c>
      <c r="D194" s="4" t="s">
        <v>393</v>
      </c>
      <c r="E194" s="4" t="s">
        <v>394</v>
      </c>
      <c r="F194" s="4">
        <v>211122081</v>
      </c>
      <c r="G194" s="6">
        <v>46248</v>
      </c>
      <c r="H194" s="6">
        <v>46248</v>
      </c>
      <c r="I194" s="32">
        <v>46279</v>
      </c>
      <c r="J194" s="1">
        <v>21</v>
      </c>
      <c r="K194" s="4">
        <v>500</v>
      </c>
      <c r="L194" s="4" t="s">
        <v>122</v>
      </c>
      <c r="M194" s="4" t="s">
        <v>123</v>
      </c>
      <c r="N194" s="6">
        <v>46248</v>
      </c>
      <c r="O194" s="1"/>
      <c r="P194" s="4">
        <v>1.58</v>
      </c>
      <c r="Q194" s="4">
        <v>1.58</v>
      </c>
      <c r="R194" s="4">
        <f>IF(
    OR(Dashboard_Query[[#This Row],[Monthly Allowance]]="",Dashboard_Query[[#This Row],[Current Usage]]=""),
    "",
    MAX(0,Dashboard_Query[[#This Row],[Monthly Allowance]]-Dashboard_Query[[#This Row],[Current Usage]])
)</f>
        <v>498.42</v>
      </c>
      <c r="S194" s="9">
        <f>IF(OR(Dashboard_Query[[#This Row],[Monthly Allowance]]="",Dashboard_Query[[#This Row],[Current Usage]]=""),"",Dashboard_Query[[#This Row],[Current Usage]]/Dashboard_Query[[#This Row],[Monthly Allowance]])</f>
        <v>3.16E-3</v>
      </c>
      <c r="T194" s="9">
        <f>IF(Dashboard_Query[[#This Row],[% Used]]="","",1-Dashboard_Query[[#This Row],[% Used]])</f>
        <v>0.99683999999999995</v>
      </c>
      <c r="U194" s="4">
        <f>IF(OR(Dashboard_Query[[#This Row],[Monthly Allowance]]="",Dashboard_Query[[#This Row],[Current Usage]]=""),"",MAX(0,Dashboard_Query[[#This Row],[Current Usage]]-Dashboard_Query[[#This Row],[Monthly Allowance]]))</f>
        <v>0</v>
      </c>
      <c r="V194" s="4" t="str">
        <f>IF(Dashboard_Query[[#This Row],[Monthly Allowance]]="","",IF(Dashboard_Query[[#This Row],[Overage]]&gt;0,"OVER",IF(Dashboard_Query[[#This Row],[% Used]]&gt;=0.8,"WARNING","OK")))</f>
        <v>OK</v>
      </c>
      <c r="W194" s="1"/>
      <c r="X194" s="1"/>
    </row>
    <row r="195" spans="1:24">
      <c r="A195" s="4" t="s">
        <v>316</v>
      </c>
      <c r="B195" s="4">
        <v>812810</v>
      </c>
      <c r="C195" s="4" t="s">
        <v>388</v>
      </c>
      <c r="D195" s="4" t="s">
        <v>306</v>
      </c>
      <c r="E195" s="4" t="s">
        <v>389</v>
      </c>
      <c r="F195" s="4">
        <v>211121969</v>
      </c>
      <c r="G195" s="6">
        <v>46246</v>
      </c>
      <c r="H195" s="6">
        <v>46246</v>
      </c>
      <c r="I195" s="32">
        <v>46277</v>
      </c>
      <c r="J195" s="1">
        <v>19</v>
      </c>
      <c r="K195" s="4">
        <v>500</v>
      </c>
      <c r="L195" s="4" t="s">
        <v>122</v>
      </c>
      <c r="M195" s="4" t="s">
        <v>123</v>
      </c>
      <c r="N195" s="6">
        <v>46246</v>
      </c>
      <c r="O195" s="1"/>
      <c r="P195" s="4">
        <v>1</v>
      </c>
      <c r="Q195" s="4">
        <v>1</v>
      </c>
      <c r="R195" s="4">
        <f>IF(
    OR(Dashboard_Query[[#This Row],[Monthly Allowance]]="",Dashboard_Query[[#This Row],[Current Usage]]=""),
    "",
    MAX(0,Dashboard_Query[[#This Row],[Monthly Allowance]]-Dashboard_Query[[#This Row],[Current Usage]])
)</f>
        <v>499</v>
      </c>
      <c r="S195" s="9">
        <f>IF(OR(Dashboard_Query[[#This Row],[Monthly Allowance]]="",Dashboard_Query[[#This Row],[Current Usage]]=""),"",Dashboard_Query[[#This Row],[Current Usage]]/Dashboard_Query[[#This Row],[Monthly Allowance]])</f>
        <v>2E-3</v>
      </c>
      <c r="T195" s="9">
        <f>IF(Dashboard_Query[[#This Row],[% Used]]="","",1-Dashboard_Query[[#This Row],[% Used]])</f>
        <v>0.998</v>
      </c>
      <c r="U195" s="4">
        <f>IF(OR(Dashboard_Query[[#This Row],[Monthly Allowance]]="",Dashboard_Query[[#This Row],[Current Usage]]=""),"",MAX(0,Dashboard_Query[[#This Row],[Current Usage]]-Dashboard_Query[[#This Row],[Monthly Allowance]]))</f>
        <v>0</v>
      </c>
      <c r="V195" s="4" t="str">
        <f>IF(Dashboard_Query[[#This Row],[Monthly Allowance]]="","",IF(Dashboard_Query[[#This Row],[Overage]]&gt;0,"OVER",IF(Dashboard_Query[[#This Row],[% Used]]&gt;=0.8,"WARNING","OK")))</f>
        <v>OK</v>
      </c>
      <c r="W195" s="1"/>
      <c r="X195" s="1"/>
    </row>
    <row r="196" spans="1:24">
      <c r="A196" s="4" t="s">
        <v>286</v>
      </c>
      <c r="B196" s="4">
        <v>809872</v>
      </c>
      <c r="C196" s="4" t="s">
        <v>392</v>
      </c>
      <c r="D196" s="4" t="s">
        <v>393</v>
      </c>
      <c r="E196" s="4" t="s">
        <v>394</v>
      </c>
      <c r="F196" s="4">
        <v>211122081</v>
      </c>
      <c r="G196" s="6">
        <v>46248</v>
      </c>
      <c r="H196" s="6">
        <v>46248</v>
      </c>
      <c r="I196" s="32">
        <v>46279</v>
      </c>
      <c r="J196" s="1">
        <v>21</v>
      </c>
      <c r="K196" s="4">
        <v>500</v>
      </c>
      <c r="L196" s="4" t="s">
        <v>122</v>
      </c>
      <c r="M196" s="4" t="s">
        <v>123</v>
      </c>
      <c r="N196" s="6">
        <v>46248</v>
      </c>
      <c r="O196" s="1"/>
      <c r="P196" s="4">
        <v>2.15</v>
      </c>
      <c r="Q196" s="4">
        <v>0.8899999999999999</v>
      </c>
      <c r="R196" s="4">
        <f>IF(
    OR(Dashboard_Query[[#This Row],[Monthly Allowance]]="",Dashboard_Query[[#This Row],[Current Usage]]=""),
    "",
    MAX(0,Dashboard_Query[[#This Row],[Monthly Allowance]]-Dashboard_Query[[#This Row],[Current Usage]])
)</f>
        <v>499.11</v>
      </c>
      <c r="S196" s="9">
        <f>IF(OR(Dashboard_Query[[#This Row],[Monthly Allowance]]="",Dashboard_Query[[#This Row],[Current Usage]]=""),"",Dashboard_Query[[#This Row],[Current Usage]]/Dashboard_Query[[#This Row],[Monthly Allowance]])</f>
        <v>1.7799999999999999E-3</v>
      </c>
      <c r="T196" s="9">
        <f>IF(Dashboard_Query[[#This Row],[% Used]]="","",1-Dashboard_Query[[#This Row],[% Used]])</f>
        <v>0.99822</v>
      </c>
      <c r="U196" s="4">
        <f>IF(OR(Dashboard_Query[[#This Row],[Monthly Allowance]]="",Dashboard_Query[[#This Row],[Current Usage]]=""),"",MAX(0,Dashboard_Query[[#This Row],[Current Usage]]-Dashboard_Query[[#This Row],[Monthly Allowance]]))</f>
        <v>0</v>
      </c>
      <c r="V196" s="4" t="str">
        <f>IF(Dashboard_Query[[#This Row],[Monthly Allowance]]="","",IF(Dashboard_Query[[#This Row],[Overage]]&gt;0,"OVER",IF(Dashboard_Query[[#This Row],[% Used]]&gt;=0.8,"WARNING","OK")))</f>
        <v>OK</v>
      </c>
      <c r="W196" s="1"/>
      <c r="X196" s="1"/>
    </row>
    <row r="197" spans="1:24">
      <c r="A197" s="4" t="s">
        <v>102</v>
      </c>
      <c r="B197" s="4">
        <v>816085</v>
      </c>
      <c r="C197" s="4" t="s">
        <v>472</v>
      </c>
      <c r="D197" s="4" t="s">
        <v>393</v>
      </c>
      <c r="E197" s="4" t="s">
        <v>128</v>
      </c>
      <c r="F197" s="4">
        <v>211122084</v>
      </c>
      <c r="G197" s="6">
        <v>46248</v>
      </c>
      <c r="H197" s="6">
        <v>46248</v>
      </c>
      <c r="I197" s="32">
        <v>46279</v>
      </c>
      <c r="J197" s="1">
        <v>21</v>
      </c>
      <c r="K197" s="4">
        <v>500</v>
      </c>
      <c r="L197" s="4" t="s">
        <v>122</v>
      </c>
      <c r="M197" s="4" t="s">
        <v>123</v>
      </c>
      <c r="N197" s="6">
        <v>46248</v>
      </c>
      <c r="O197" s="1"/>
      <c r="P197" s="4">
        <v>0.82</v>
      </c>
      <c r="Q197" s="4">
        <v>0.82</v>
      </c>
      <c r="R197" s="4">
        <f>IF(
    OR(Dashboard_Query[[#This Row],[Monthly Allowance]]="",Dashboard_Query[[#This Row],[Current Usage]]=""),
    "",
    MAX(0,Dashboard_Query[[#This Row],[Monthly Allowance]]-Dashboard_Query[[#This Row],[Current Usage]])
)</f>
        <v>499.18</v>
      </c>
      <c r="S197" s="9">
        <f>IF(OR(Dashboard_Query[[#This Row],[Monthly Allowance]]="",Dashboard_Query[[#This Row],[Current Usage]]=""),"",Dashboard_Query[[#This Row],[Current Usage]]/Dashboard_Query[[#This Row],[Monthly Allowance]])</f>
        <v>1.64E-3</v>
      </c>
      <c r="T197" s="9">
        <f>IF(Dashboard_Query[[#This Row],[% Used]]="","",1-Dashboard_Query[[#This Row],[% Used]])</f>
        <v>0.99836000000000003</v>
      </c>
      <c r="U197" s="4">
        <f>IF(OR(Dashboard_Query[[#This Row],[Monthly Allowance]]="",Dashboard_Query[[#This Row],[Current Usage]]=""),"",MAX(0,Dashboard_Query[[#This Row],[Current Usage]]-Dashboard_Query[[#This Row],[Monthly Allowance]]))</f>
        <v>0</v>
      </c>
      <c r="V197" s="4" t="str">
        <f>IF(Dashboard_Query[[#This Row],[Monthly Allowance]]="","",IF(Dashboard_Query[[#This Row],[Overage]]&gt;0,"OVER",IF(Dashboard_Query[[#This Row],[% Used]]&gt;=0.8,"WARNING","OK")))</f>
        <v>OK</v>
      </c>
      <c r="W197" s="1"/>
      <c r="X197" s="1"/>
    </row>
    <row r="198" spans="1:24">
      <c r="A198" s="4" t="s">
        <v>160</v>
      </c>
      <c r="B198" s="4">
        <v>814446</v>
      </c>
      <c r="C198" s="4" t="s">
        <v>472</v>
      </c>
      <c r="D198" s="4" t="s">
        <v>393</v>
      </c>
      <c r="E198" s="4" t="s">
        <v>128</v>
      </c>
      <c r="F198" s="4">
        <v>211122084</v>
      </c>
      <c r="G198" s="6">
        <v>46248</v>
      </c>
      <c r="H198" s="6">
        <v>46248</v>
      </c>
      <c r="I198" s="32">
        <v>46279</v>
      </c>
      <c r="J198" s="1">
        <v>21</v>
      </c>
      <c r="K198" s="4">
        <v>500</v>
      </c>
      <c r="L198" s="4" t="s">
        <v>122</v>
      </c>
      <c r="M198" s="4" t="s">
        <v>123</v>
      </c>
      <c r="N198" s="6">
        <v>46248</v>
      </c>
      <c r="O198" s="1"/>
      <c r="P198" s="4">
        <v>95.05</v>
      </c>
      <c r="Q198" s="4">
        <v>0.53000000000000114</v>
      </c>
      <c r="R198" s="4">
        <f>IF(
    OR(Dashboard_Query[[#This Row],[Monthly Allowance]]="",Dashboard_Query[[#This Row],[Current Usage]]=""),
    "",
    MAX(0,Dashboard_Query[[#This Row],[Monthly Allowance]]-Dashboard_Query[[#This Row],[Current Usage]])
)</f>
        <v>499.47</v>
      </c>
      <c r="S198" s="9">
        <f>IF(OR(Dashboard_Query[[#This Row],[Monthly Allowance]]="",Dashboard_Query[[#This Row],[Current Usage]]=""),"",Dashboard_Query[[#This Row],[Current Usage]]/Dashboard_Query[[#This Row],[Monthly Allowance]])</f>
        <v>1.0600000000000023E-3</v>
      </c>
      <c r="T198" s="9">
        <f>IF(Dashboard_Query[[#This Row],[% Used]]="","",1-Dashboard_Query[[#This Row],[% Used]])</f>
        <v>0.99894000000000005</v>
      </c>
      <c r="U198" s="4">
        <f>IF(OR(Dashboard_Query[[#This Row],[Monthly Allowance]]="",Dashboard_Query[[#This Row],[Current Usage]]=""),"",MAX(0,Dashboard_Query[[#This Row],[Current Usage]]-Dashboard_Query[[#This Row],[Monthly Allowance]]))</f>
        <v>0</v>
      </c>
      <c r="V198" s="4" t="str">
        <f>IF(Dashboard_Query[[#This Row],[Monthly Allowance]]="","",IF(Dashboard_Query[[#This Row],[Overage]]&gt;0,"OVER",IF(Dashboard_Query[[#This Row],[% Used]]&gt;=0.8,"WARNING","OK")))</f>
        <v>OK</v>
      </c>
      <c r="W198" s="1"/>
      <c r="X198" s="1"/>
    </row>
    <row r="199" spans="1:24" ht="15">
      <c r="A199" s="4" t="s">
        <v>253</v>
      </c>
      <c r="B199" s="4">
        <v>814442</v>
      </c>
      <c r="C199" s="4" t="s">
        <v>472</v>
      </c>
      <c r="D199" s="4" t="s">
        <v>393</v>
      </c>
      <c r="E199" s="3" t="s">
        <v>128</v>
      </c>
      <c r="F199" s="3">
        <v>211122084</v>
      </c>
      <c r="G199" s="6">
        <v>46248</v>
      </c>
      <c r="H199" s="6">
        <v>46248</v>
      </c>
      <c r="I199" s="32">
        <v>46279</v>
      </c>
      <c r="J199" s="1">
        <v>21</v>
      </c>
      <c r="K199" s="4">
        <v>500</v>
      </c>
      <c r="L199" s="4" t="s">
        <v>122</v>
      </c>
      <c r="M199" s="4" t="s">
        <v>123</v>
      </c>
      <c r="N199" s="6">
        <v>46248</v>
      </c>
      <c r="O199" s="1"/>
      <c r="P199" s="4">
        <v>33.82</v>
      </c>
      <c r="Q199" s="4">
        <v>0.50999999999999801</v>
      </c>
      <c r="R199" s="4">
        <f>IF(
    OR(Dashboard_Query[[#This Row],[Monthly Allowance]]="",Dashboard_Query[[#This Row],[Current Usage]]=""),
    "",
    MAX(0,Dashboard_Query[[#This Row],[Monthly Allowance]]-Dashboard_Query[[#This Row],[Current Usage]])
)</f>
        <v>499.49</v>
      </c>
      <c r="S199" s="9">
        <f>IF(OR(Dashboard_Query[[#This Row],[Monthly Allowance]]="",Dashboard_Query[[#This Row],[Current Usage]]=""),"",Dashboard_Query[[#This Row],[Current Usage]]/Dashboard_Query[[#This Row],[Monthly Allowance]])</f>
        <v>1.019999999999996E-3</v>
      </c>
      <c r="T199" s="9">
        <f>IF(Dashboard_Query[[#This Row],[% Used]]="","",1-Dashboard_Query[[#This Row],[% Used]])</f>
        <v>0.99897999999999998</v>
      </c>
      <c r="U199" s="4">
        <f>IF(OR(Dashboard_Query[[#This Row],[Monthly Allowance]]="",Dashboard_Query[[#This Row],[Current Usage]]=""),"",MAX(0,Dashboard_Query[[#This Row],[Current Usage]]-Dashboard_Query[[#This Row],[Monthly Allowance]]))</f>
        <v>0</v>
      </c>
      <c r="V199" s="4" t="str">
        <f>IF(Dashboard_Query[[#This Row],[Monthly Allowance]]="","",IF(Dashboard_Query[[#This Row],[Overage]]&gt;0,"OVER",IF(Dashboard_Query[[#This Row],[% Used]]&gt;=0.8,"WARNING","OK")))</f>
        <v>OK</v>
      </c>
      <c r="W199" s="1"/>
      <c r="X199" s="1"/>
    </row>
    <row r="200" spans="1:24">
      <c r="A200" s="4" t="s">
        <v>282</v>
      </c>
      <c r="B200" s="4">
        <v>814436</v>
      </c>
      <c r="C200" s="4" t="s">
        <v>472</v>
      </c>
      <c r="D200" s="4" t="s">
        <v>393</v>
      </c>
      <c r="E200" s="4" t="s">
        <v>128</v>
      </c>
      <c r="F200" s="4">
        <v>211122084</v>
      </c>
      <c r="G200" s="6">
        <v>46248</v>
      </c>
      <c r="H200" s="6">
        <v>46248</v>
      </c>
      <c r="I200" s="32">
        <v>46279</v>
      </c>
      <c r="J200" s="1">
        <v>21</v>
      </c>
      <c r="K200" s="4">
        <v>500</v>
      </c>
      <c r="L200" s="4" t="s">
        <v>122</v>
      </c>
      <c r="M200" s="4" t="s">
        <v>123</v>
      </c>
      <c r="N200" s="6">
        <v>46248</v>
      </c>
      <c r="O200" s="1"/>
      <c r="P200" s="4">
        <v>0.46</v>
      </c>
      <c r="Q200" s="4">
        <v>0.46</v>
      </c>
      <c r="R200" s="4">
        <f>IF(
    OR(Dashboard_Query[[#This Row],[Monthly Allowance]]="",Dashboard_Query[[#This Row],[Current Usage]]=""),
    "",
    MAX(0,Dashboard_Query[[#This Row],[Monthly Allowance]]-Dashboard_Query[[#This Row],[Current Usage]])
)</f>
        <v>499.54</v>
      </c>
      <c r="S200" s="9">
        <f>IF(OR(Dashboard_Query[[#This Row],[Monthly Allowance]]="",Dashboard_Query[[#This Row],[Current Usage]]=""),"",Dashboard_Query[[#This Row],[Current Usage]]/Dashboard_Query[[#This Row],[Monthly Allowance]])</f>
        <v>9.2000000000000003E-4</v>
      </c>
      <c r="T200" s="9">
        <f>IF(Dashboard_Query[[#This Row],[% Used]]="","",1-Dashboard_Query[[#This Row],[% Used]])</f>
        <v>0.99907999999999997</v>
      </c>
      <c r="U200" s="4">
        <f>IF(OR(Dashboard_Query[[#This Row],[Monthly Allowance]]="",Dashboard_Query[[#This Row],[Current Usage]]=""),"",MAX(0,Dashboard_Query[[#This Row],[Current Usage]]-Dashboard_Query[[#This Row],[Monthly Allowance]]))</f>
        <v>0</v>
      </c>
      <c r="V200" s="4" t="str">
        <f>IF(Dashboard_Query[[#This Row],[Monthly Allowance]]="","",IF(Dashboard_Query[[#This Row],[Overage]]&gt;0,"OVER",IF(Dashboard_Query[[#This Row],[% Used]]&gt;=0.8,"WARNING","OK")))</f>
        <v>OK</v>
      </c>
      <c r="W200" s="1"/>
      <c r="X200" s="1"/>
    </row>
    <row r="201" spans="1:24">
      <c r="A201" s="4" t="s">
        <v>294</v>
      </c>
      <c r="B201" s="4">
        <v>812840</v>
      </c>
      <c r="C201" s="4" t="s">
        <v>173</v>
      </c>
      <c r="D201" s="4" t="s">
        <v>174</v>
      </c>
      <c r="E201" s="4" t="s">
        <v>175</v>
      </c>
      <c r="F201" s="4">
        <v>211120714</v>
      </c>
      <c r="G201" s="6">
        <v>46204</v>
      </c>
      <c r="H201" s="6">
        <v>46235</v>
      </c>
      <c r="I201" s="32">
        <v>46266</v>
      </c>
      <c r="J201" s="1">
        <v>8</v>
      </c>
      <c r="K201" s="4">
        <v>500</v>
      </c>
      <c r="L201" s="4" t="s">
        <v>122</v>
      </c>
      <c r="M201" s="4" t="s">
        <v>123</v>
      </c>
      <c r="N201" s="6">
        <v>46235</v>
      </c>
      <c r="O201" s="1"/>
      <c r="P201" s="4">
        <v>1.0900000000000001</v>
      </c>
      <c r="Q201" s="4">
        <v>0.45000000000000007</v>
      </c>
      <c r="R201" s="4">
        <f>IF(
    OR(Dashboard_Query[[#This Row],[Monthly Allowance]]="",Dashboard_Query[[#This Row],[Current Usage]]=""),
    "",
    MAX(0,Dashboard_Query[[#This Row],[Monthly Allowance]]-Dashboard_Query[[#This Row],[Current Usage]])
)</f>
        <v>499.55</v>
      </c>
      <c r="S201" s="9">
        <f>IF(OR(Dashboard_Query[[#This Row],[Monthly Allowance]]="",Dashboard_Query[[#This Row],[Current Usage]]=""),"",Dashboard_Query[[#This Row],[Current Usage]]/Dashboard_Query[[#This Row],[Monthly Allowance]])</f>
        <v>9.0000000000000008E-4</v>
      </c>
      <c r="T201" s="9">
        <f>IF(Dashboard_Query[[#This Row],[% Used]]="","",1-Dashboard_Query[[#This Row],[% Used]])</f>
        <v>0.99909999999999999</v>
      </c>
      <c r="U201" s="4">
        <f>IF(OR(Dashboard_Query[[#This Row],[Monthly Allowance]]="",Dashboard_Query[[#This Row],[Current Usage]]=""),"",MAX(0,Dashboard_Query[[#This Row],[Current Usage]]-Dashboard_Query[[#This Row],[Monthly Allowance]]))</f>
        <v>0</v>
      </c>
      <c r="V201" s="4" t="str">
        <f>IF(Dashboard_Query[[#This Row],[Monthly Allowance]]="","",IF(Dashboard_Query[[#This Row],[Overage]]&gt;0,"OVER",IF(Dashboard_Query[[#This Row],[% Used]]&gt;=0.8,"WARNING","OK")))</f>
        <v>OK</v>
      </c>
      <c r="W201" s="1"/>
      <c r="X201" s="1"/>
    </row>
    <row r="202" spans="1:24" hidden="1">
      <c r="A202" s="4" t="s">
        <v>377</v>
      </c>
      <c r="B202" s="4">
        <v>809623</v>
      </c>
      <c r="C202" s="4"/>
      <c r="D202" s="4"/>
      <c r="E202" s="4"/>
      <c r="F202" s="4"/>
      <c r="G202" s="6"/>
      <c r="H202" s="6"/>
      <c r="I202" s="32"/>
      <c r="J202" s="1"/>
      <c r="K202" s="4">
        <v>500</v>
      </c>
      <c r="L202" s="4" t="s">
        <v>122</v>
      </c>
      <c r="M202" s="4" t="s">
        <v>35</v>
      </c>
      <c r="N202" s="6"/>
      <c r="O202" s="1"/>
      <c r="P202" s="4">
        <v>0.04</v>
      </c>
      <c r="Q202" s="4">
        <v>0.42</v>
      </c>
      <c r="R202" s="4">
        <f>IF(
    OR(Dashboard_Query[[#This Row],[Monthly Allowance]]="",Dashboard_Query[[#This Row],[Current Usage]]=""),
    "",
    MAX(0,Dashboard_Query[[#This Row],[Monthly Allowance]]-Dashboard_Query[[#This Row],[Current Usage]])
)</f>
        <v>499.58</v>
      </c>
      <c r="S202" s="9">
        <f>IF(OR(Dashboard_Query[[#This Row],[Monthly Allowance]]="",Dashboard_Query[[#This Row],[Current Usage]]=""),"",Dashboard_Query[[#This Row],[Current Usage]]/Dashboard_Query[[#This Row],[Monthly Allowance]])</f>
        <v>8.3999999999999993E-4</v>
      </c>
      <c r="T202" s="9">
        <f>IF(Dashboard_Query[[#This Row],[% Used]]="","",1-Dashboard_Query[[#This Row],[% Used]])</f>
        <v>0.99916000000000005</v>
      </c>
      <c r="U202" s="4">
        <f>IF(OR(Dashboard_Query[[#This Row],[Monthly Allowance]]="",Dashboard_Query[[#This Row],[Current Usage]]=""),"",MAX(0,Dashboard_Query[[#This Row],[Current Usage]]-Dashboard_Query[[#This Row],[Monthly Allowance]]))</f>
        <v>0</v>
      </c>
      <c r="V202" s="4" t="str">
        <f>IF(Dashboard_Query[[#This Row],[Monthly Allowance]]="","",IF(Dashboard_Query[[#This Row],[Overage]]&gt;0,"OVER",IF(Dashboard_Query[[#This Row],[% Used]]&gt;=0.8,"WARNING","OK")))</f>
        <v>OK</v>
      </c>
      <c r="W202" s="1"/>
      <c r="X202" s="1"/>
    </row>
    <row r="203" spans="1:24" hidden="1">
      <c r="A203" s="4" t="s">
        <v>105</v>
      </c>
      <c r="B203" s="4"/>
      <c r="C203" s="4"/>
      <c r="D203" s="4"/>
      <c r="E203" s="4"/>
      <c r="F203" s="4"/>
      <c r="G203" s="6"/>
      <c r="H203" s="6"/>
      <c r="I203" s="32"/>
      <c r="J203" s="1"/>
      <c r="K203" s="4">
        <v>500</v>
      </c>
      <c r="L203" s="4" t="s">
        <v>122</v>
      </c>
      <c r="M203" s="4" t="s">
        <v>35</v>
      </c>
      <c r="N203" s="6"/>
      <c r="O203" s="1"/>
      <c r="P203" s="4">
        <v>0.38</v>
      </c>
      <c r="Q203" s="4">
        <v>0.38</v>
      </c>
      <c r="R203" s="4">
        <f>IF(
    OR(Dashboard_Query[[#This Row],[Monthly Allowance]]="",Dashboard_Query[[#This Row],[Current Usage]]=""),
    "",
    MAX(0,Dashboard_Query[[#This Row],[Monthly Allowance]]-Dashboard_Query[[#This Row],[Current Usage]])
)</f>
        <v>499.62</v>
      </c>
      <c r="S203" s="9">
        <f>IF(OR(Dashboard_Query[[#This Row],[Monthly Allowance]]="",Dashboard_Query[[#This Row],[Current Usage]]=""),"",Dashboard_Query[[#This Row],[Current Usage]]/Dashboard_Query[[#This Row],[Monthly Allowance]])</f>
        <v>7.6000000000000004E-4</v>
      </c>
      <c r="T203" s="9">
        <f>IF(Dashboard_Query[[#This Row],[% Used]]="","",1-Dashboard_Query[[#This Row],[% Used]])</f>
        <v>0.99924000000000002</v>
      </c>
      <c r="U203" s="4">
        <f>IF(OR(Dashboard_Query[[#This Row],[Monthly Allowance]]="",Dashboard_Query[[#This Row],[Current Usage]]=""),"",MAX(0,Dashboard_Query[[#This Row],[Current Usage]]-Dashboard_Query[[#This Row],[Monthly Allowance]]))</f>
        <v>0</v>
      </c>
      <c r="V203" s="4" t="str">
        <f>IF(Dashboard_Query[[#This Row],[Monthly Allowance]]="","",IF(Dashboard_Query[[#This Row],[Overage]]&gt;0,"OVER",IF(Dashboard_Query[[#This Row],[% Used]]&gt;=0.8,"WARNING","OK")))</f>
        <v>OK</v>
      </c>
      <c r="W203" s="1"/>
      <c r="X203" s="1"/>
    </row>
    <row r="204" spans="1:24" hidden="1">
      <c r="A204" s="4" t="s">
        <v>103</v>
      </c>
      <c r="B204" s="4"/>
      <c r="C204" s="4"/>
      <c r="D204" s="4"/>
      <c r="E204" s="4"/>
      <c r="F204" s="4"/>
      <c r="G204" s="6"/>
      <c r="H204" s="6"/>
      <c r="I204" s="32"/>
      <c r="J204" s="1"/>
      <c r="K204" s="4">
        <v>500</v>
      </c>
      <c r="L204" s="4" t="s">
        <v>122</v>
      </c>
      <c r="M204" s="4" t="s">
        <v>35</v>
      </c>
      <c r="N204" s="6"/>
      <c r="O204" s="1"/>
      <c r="P204" s="4">
        <v>0.26</v>
      </c>
      <c r="Q204" s="4">
        <v>0.26</v>
      </c>
      <c r="R204" s="4">
        <f>IF(
    OR(Dashboard_Query[[#This Row],[Monthly Allowance]]="",Dashboard_Query[[#This Row],[Current Usage]]=""),
    "",
    MAX(0,Dashboard_Query[[#This Row],[Monthly Allowance]]-Dashboard_Query[[#This Row],[Current Usage]])
)</f>
        <v>499.74</v>
      </c>
      <c r="S204" s="9">
        <f>IF(OR(Dashboard_Query[[#This Row],[Monthly Allowance]]="",Dashboard_Query[[#This Row],[Current Usage]]=""),"",Dashboard_Query[[#This Row],[Current Usage]]/Dashboard_Query[[#This Row],[Monthly Allowance]])</f>
        <v>5.2000000000000006E-4</v>
      </c>
      <c r="T204" s="9">
        <f>IF(Dashboard_Query[[#This Row],[% Used]]="","",1-Dashboard_Query[[#This Row],[% Used]])</f>
        <v>0.99948000000000004</v>
      </c>
      <c r="U204" s="4">
        <f>IF(OR(Dashboard_Query[[#This Row],[Monthly Allowance]]="",Dashboard_Query[[#This Row],[Current Usage]]=""),"",MAX(0,Dashboard_Query[[#This Row],[Current Usage]]-Dashboard_Query[[#This Row],[Monthly Allowance]]))</f>
        <v>0</v>
      </c>
      <c r="V204" s="4" t="str">
        <f>IF(Dashboard_Query[[#This Row],[Monthly Allowance]]="","",IF(Dashboard_Query[[#This Row],[Overage]]&gt;0,"OVER",IF(Dashboard_Query[[#This Row],[% Used]]&gt;=0.8,"WARNING","OK")))</f>
        <v>OK</v>
      </c>
      <c r="W204" s="1"/>
      <c r="X204" s="1"/>
    </row>
    <row r="205" spans="1:24" hidden="1">
      <c r="A205" s="4" t="s">
        <v>75</v>
      </c>
      <c r="B205" s="4"/>
      <c r="C205" s="4"/>
      <c r="D205" s="4"/>
      <c r="E205" s="4"/>
      <c r="F205" s="4"/>
      <c r="G205" s="6"/>
      <c r="H205" s="6"/>
      <c r="I205" s="32"/>
      <c r="J205" s="1"/>
      <c r="K205" s="4">
        <v>500</v>
      </c>
      <c r="L205" s="4" t="s">
        <v>122</v>
      </c>
      <c r="M205" s="4" t="s">
        <v>35</v>
      </c>
      <c r="N205" s="6"/>
      <c r="O205" s="1"/>
      <c r="P205" s="4">
        <v>0.23</v>
      </c>
      <c r="Q205" s="4">
        <v>0.23</v>
      </c>
      <c r="R205" s="4">
        <f>IF(
    OR(Dashboard_Query[[#This Row],[Monthly Allowance]]="",Dashboard_Query[[#This Row],[Current Usage]]=""),
    "",
    MAX(0,Dashboard_Query[[#This Row],[Monthly Allowance]]-Dashboard_Query[[#This Row],[Current Usage]])
)</f>
        <v>499.77</v>
      </c>
      <c r="S205" s="9">
        <f>IF(OR(Dashboard_Query[[#This Row],[Monthly Allowance]]="",Dashboard_Query[[#This Row],[Current Usage]]=""),"",Dashboard_Query[[#This Row],[Current Usage]]/Dashboard_Query[[#This Row],[Monthly Allowance]])</f>
        <v>4.6000000000000001E-4</v>
      </c>
      <c r="T205" s="9">
        <f>IF(Dashboard_Query[[#This Row],[% Used]]="","",1-Dashboard_Query[[#This Row],[% Used]])</f>
        <v>0.99953999999999998</v>
      </c>
      <c r="U205" s="4">
        <f>IF(OR(Dashboard_Query[[#This Row],[Monthly Allowance]]="",Dashboard_Query[[#This Row],[Current Usage]]=""),"",MAX(0,Dashboard_Query[[#This Row],[Current Usage]]-Dashboard_Query[[#This Row],[Monthly Allowance]]))</f>
        <v>0</v>
      </c>
      <c r="V205" s="4" t="str">
        <f>IF(Dashboard_Query[[#This Row],[Monthly Allowance]]="","",IF(Dashboard_Query[[#This Row],[Overage]]&gt;0,"OVER",IF(Dashboard_Query[[#This Row],[% Used]]&gt;=0.8,"WARNING","OK")))</f>
        <v>OK</v>
      </c>
      <c r="W205" s="1"/>
      <c r="X205" s="1"/>
    </row>
    <row r="206" spans="1:24" hidden="1">
      <c r="A206" s="4" t="s">
        <v>378</v>
      </c>
      <c r="B206" s="4">
        <v>809612</v>
      </c>
      <c r="C206" s="4"/>
      <c r="D206" s="4"/>
      <c r="E206" s="4"/>
      <c r="F206" s="4"/>
      <c r="G206" s="6"/>
      <c r="H206" s="6"/>
      <c r="I206" s="32"/>
      <c r="J206" s="1"/>
      <c r="K206" s="4">
        <v>500</v>
      </c>
      <c r="L206" s="4" t="s">
        <v>122</v>
      </c>
      <c r="M206" s="4" t="s">
        <v>35</v>
      </c>
      <c r="N206" s="6"/>
      <c r="O206" s="1"/>
      <c r="P206" s="4">
        <v>0.01</v>
      </c>
      <c r="Q206" s="4">
        <v>0.21000000000000002</v>
      </c>
      <c r="R206" s="4">
        <f>IF(
    OR(Dashboard_Query[[#This Row],[Monthly Allowance]]="",Dashboard_Query[[#This Row],[Current Usage]]=""),
    "",
    MAX(0,Dashboard_Query[[#This Row],[Monthly Allowance]]-Dashboard_Query[[#This Row],[Current Usage]])
)</f>
        <v>499.79</v>
      </c>
      <c r="S206" s="9">
        <f>IF(OR(Dashboard_Query[[#This Row],[Monthly Allowance]]="",Dashboard_Query[[#This Row],[Current Usage]]=""),"",Dashboard_Query[[#This Row],[Current Usage]]/Dashboard_Query[[#This Row],[Monthly Allowance]])</f>
        <v>4.2000000000000002E-4</v>
      </c>
      <c r="T206" s="9">
        <f>IF(Dashboard_Query[[#This Row],[% Used]]="","",1-Dashboard_Query[[#This Row],[% Used]])</f>
        <v>0.99958000000000002</v>
      </c>
      <c r="U206" s="4">
        <f>IF(OR(Dashboard_Query[[#This Row],[Monthly Allowance]]="",Dashboard_Query[[#This Row],[Current Usage]]=""),"",MAX(0,Dashboard_Query[[#This Row],[Current Usage]]-Dashboard_Query[[#This Row],[Monthly Allowance]]))</f>
        <v>0</v>
      </c>
      <c r="V206" s="4" t="str">
        <f>IF(Dashboard_Query[[#This Row],[Monthly Allowance]]="","",IF(Dashboard_Query[[#This Row],[Overage]]&gt;0,"OVER",IF(Dashboard_Query[[#This Row],[% Used]]&gt;=0.8,"WARNING","OK")))</f>
        <v>OK</v>
      </c>
      <c r="W206" s="1"/>
      <c r="X206" s="1"/>
    </row>
    <row r="207" spans="1:24" hidden="1">
      <c r="A207" s="4" t="s">
        <v>408</v>
      </c>
      <c r="B207" s="4">
        <v>816278</v>
      </c>
      <c r="C207" s="4"/>
      <c r="D207" s="4"/>
      <c r="E207" s="4"/>
      <c r="F207" s="4"/>
      <c r="G207" s="6"/>
      <c r="H207" s="6"/>
      <c r="I207" s="32"/>
      <c r="J207" s="1"/>
      <c r="K207" s="4">
        <v>500</v>
      </c>
      <c r="L207" s="4" t="s">
        <v>122</v>
      </c>
      <c r="M207" s="4" t="s">
        <v>35</v>
      </c>
      <c r="N207" s="6"/>
      <c r="O207" s="1"/>
      <c r="P207" s="4">
        <v>0.19</v>
      </c>
      <c r="Q207" s="4">
        <v>0.19</v>
      </c>
      <c r="R207" s="4">
        <f>IF(
    OR(Dashboard_Query[[#This Row],[Monthly Allowance]]="",Dashboard_Query[[#This Row],[Current Usage]]=""),
    "",
    MAX(0,Dashboard_Query[[#This Row],[Monthly Allowance]]-Dashboard_Query[[#This Row],[Current Usage]])
)</f>
        <v>499.81</v>
      </c>
      <c r="S207" s="9">
        <f>IF(OR(Dashboard_Query[[#This Row],[Monthly Allowance]]="",Dashboard_Query[[#This Row],[Current Usage]]=""),"",Dashboard_Query[[#This Row],[Current Usage]]/Dashboard_Query[[#This Row],[Monthly Allowance]])</f>
        <v>3.8000000000000002E-4</v>
      </c>
      <c r="T207" s="9">
        <f>IF(Dashboard_Query[[#This Row],[% Used]]="","",1-Dashboard_Query[[#This Row],[% Used]])</f>
        <v>0.99961999999999995</v>
      </c>
      <c r="U207" s="4">
        <f>IF(OR(Dashboard_Query[[#This Row],[Monthly Allowance]]="",Dashboard_Query[[#This Row],[Current Usage]]=""),"",MAX(0,Dashboard_Query[[#This Row],[Current Usage]]-Dashboard_Query[[#This Row],[Monthly Allowance]]))</f>
        <v>0</v>
      </c>
      <c r="V207" s="4" t="str">
        <f>IF(Dashboard_Query[[#This Row],[Monthly Allowance]]="","",IF(Dashboard_Query[[#This Row],[Overage]]&gt;0,"OVER",IF(Dashboard_Query[[#This Row],[% Used]]&gt;=0.8,"WARNING","OK")))</f>
        <v>OK</v>
      </c>
      <c r="W207" s="1"/>
      <c r="X207" s="1"/>
    </row>
    <row r="208" spans="1:24" hidden="1">
      <c r="A208" s="4" t="s">
        <v>115</v>
      </c>
      <c r="B208" s="4"/>
      <c r="C208" s="4"/>
      <c r="D208" s="4"/>
      <c r="E208" s="4"/>
      <c r="F208" s="4"/>
      <c r="G208" s="6"/>
      <c r="H208" s="6"/>
      <c r="I208" s="32"/>
      <c r="J208" s="1"/>
      <c r="K208" s="4">
        <v>500</v>
      </c>
      <c r="L208" s="4" t="s">
        <v>122</v>
      </c>
      <c r="M208" s="4" t="s">
        <v>35</v>
      </c>
      <c r="N208" s="6"/>
      <c r="O208" s="1"/>
      <c r="P208" s="4">
        <v>0.17</v>
      </c>
      <c r="Q208" s="4">
        <v>0.17</v>
      </c>
      <c r="R208" s="4">
        <f>IF(
    OR(Dashboard_Query[[#This Row],[Monthly Allowance]]="",Dashboard_Query[[#This Row],[Current Usage]]=""),
    "",
    MAX(0,Dashboard_Query[[#This Row],[Monthly Allowance]]-Dashboard_Query[[#This Row],[Current Usage]])
)</f>
        <v>499.83</v>
      </c>
      <c r="S208" s="9">
        <f>IF(OR(Dashboard_Query[[#This Row],[Monthly Allowance]]="",Dashboard_Query[[#This Row],[Current Usage]]=""),"",Dashboard_Query[[#This Row],[Current Usage]]/Dashboard_Query[[#This Row],[Monthly Allowance]])</f>
        <v>3.4000000000000002E-4</v>
      </c>
      <c r="T208" s="9">
        <f>IF(Dashboard_Query[[#This Row],[% Used]]="","",1-Dashboard_Query[[#This Row],[% Used]])</f>
        <v>0.99965999999999999</v>
      </c>
      <c r="U208" s="4">
        <f>IF(OR(Dashboard_Query[[#This Row],[Monthly Allowance]]="",Dashboard_Query[[#This Row],[Current Usage]]=""),"",MAX(0,Dashboard_Query[[#This Row],[Current Usage]]-Dashboard_Query[[#This Row],[Monthly Allowance]]))</f>
        <v>0</v>
      </c>
      <c r="V208" s="4" t="str">
        <f>IF(Dashboard_Query[[#This Row],[Monthly Allowance]]="","",IF(Dashboard_Query[[#This Row],[Overage]]&gt;0,"OVER",IF(Dashboard_Query[[#This Row],[% Used]]&gt;=0.8,"WARNING","OK")))</f>
        <v>OK</v>
      </c>
      <c r="W208" s="1"/>
      <c r="X208" s="1"/>
    </row>
    <row r="209" spans="1:24" hidden="1">
      <c r="A209" s="4" t="s">
        <v>108</v>
      </c>
      <c r="B209" s="4"/>
      <c r="C209" s="4"/>
      <c r="D209" s="4"/>
      <c r="E209" s="4"/>
      <c r="F209" s="4"/>
      <c r="G209" s="6"/>
      <c r="H209" s="6"/>
      <c r="I209" s="32"/>
      <c r="J209" s="1"/>
      <c r="K209" s="4">
        <v>500</v>
      </c>
      <c r="L209" s="4" t="s">
        <v>122</v>
      </c>
      <c r="M209" s="4" t="s">
        <v>35</v>
      </c>
      <c r="N209" s="6"/>
      <c r="O209" s="1"/>
      <c r="P209" s="4">
        <v>0.14000000000000001</v>
      </c>
      <c r="Q209" s="4">
        <v>0.14000000000000001</v>
      </c>
      <c r="R209" s="4">
        <f>IF(
    OR(Dashboard_Query[[#This Row],[Monthly Allowance]]="",Dashboard_Query[[#This Row],[Current Usage]]=""),
    "",
    MAX(0,Dashboard_Query[[#This Row],[Monthly Allowance]]-Dashboard_Query[[#This Row],[Current Usage]])
)</f>
        <v>499.86</v>
      </c>
      <c r="S209" s="9">
        <f>IF(OR(Dashboard_Query[[#This Row],[Monthly Allowance]]="",Dashboard_Query[[#This Row],[Current Usage]]=""),"",Dashboard_Query[[#This Row],[Current Usage]]/Dashboard_Query[[#This Row],[Monthly Allowance]])</f>
        <v>2.8000000000000003E-4</v>
      </c>
      <c r="T209" s="9">
        <f>IF(Dashboard_Query[[#This Row],[% Used]]="","",1-Dashboard_Query[[#This Row],[% Used]])</f>
        <v>0.99972000000000005</v>
      </c>
      <c r="U209" s="4">
        <f>IF(OR(Dashboard_Query[[#This Row],[Monthly Allowance]]="",Dashboard_Query[[#This Row],[Current Usage]]=""),"",MAX(0,Dashboard_Query[[#This Row],[Current Usage]]-Dashboard_Query[[#This Row],[Monthly Allowance]]))</f>
        <v>0</v>
      </c>
      <c r="V209" s="4" t="str">
        <f>IF(Dashboard_Query[[#This Row],[Monthly Allowance]]="","",IF(Dashboard_Query[[#This Row],[Overage]]&gt;0,"OVER",IF(Dashboard_Query[[#This Row],[% Used]]&gt;=0.8,"WARNING","OK")))</f>
        <v>OK</v>
      </c>
      <c r="W209" s="1"/>
      <c r="X209" s="1"/>
    </row>
    <row r="210" spans="1:24" hidden="1">
      <c r="A210" s="4" t="s">
        <v>398</v>
      </c>
      <c r="B210" s="4">
        <v>816268</v>
      </c>
      <c r="C210" s="4"/>
      <c r="D210" s="4"/>
      <c r="E210" s="4"/>
      <c r="F210" s="4"/>
      <c r="G210" s="6"/>
      <c r="H210" s="6"/>
      <c r="I210" s="32"/>
      <c r="J210" s="1"/>
      <c r="K210" s="4">
        <v>500</v>
      </c>
      <c r="L210" s="4" t="s">
        <v>122</v>
      </c>
      <c r="M210" s="4" t="s">
        <v>35</v>
      </c>
      <c r="N210" s="6"/>
      <c r="O210" s="1"/>
      <c r="P210" s="4">
        <v>0.14000000000000001</v>
      </c>
      <c r="Q210" s="4">
        <v>0.14000000000000001</v>
      </c>
      <c r="R210" s="4">
        <f>IF(
    OR(Dashboard_Query[[#This Row],[Monthly Allowance]]="",Dashboard_Query[[#This Row],[Current Usage]]=""),
    "",
    MAX(0,Dashboard_Query[[#This Row],[Monthly Allowance]]-Dashboard_Query[[#This Row],[Current Usage]])
)</f>
        <v>499.86</v>
      </c>
      <c r="S210" s="9">
        <f>IF(OR(Dashboard_Query[[#This Row],[Monthly Allowance]]="",Dashboard_Query[[#This Row],[Current Usage]]=""),"",Dashboard_Query[[#This Row],[Current Usage]]/Dashboard_Query[[#This Row],[Monthly Allowance]])</f>
        <v>2.8000000000000003E-4</v>
      </c>
      <c r="T210" s="9">
        <f>IF(Dashboard_Query[[#This Row],[% Used]]="","",1-Dashboard_Query[[#This Row],[% Used]])</f>
        <v>0.99972000000000005</v>
      </c>
      <c r="U210" s="4">
        <f>IF(OR(Dashboard_Query[[#This Row],[Monthly Allowance]]="",Dashboard_Query[[#This Row],[Current Usage]]=""),"",MAX(0,Dashboard_Query[[#This Row],[Current Usage]]-Dashboard_Query[[#This Row],[Monthly Allowance]]))</f>
        <v>0</v>
      </c>
      <c r="V210" s="4" t="str">
        <f>IF(Dashboard_Query[[#This Row],[Monthly Allowance]]="","",IF(Dashboard_Query[[#This Row],[Overage]]&gt;0,"OVER",IF(Dashboard_Query[[#This Row],[% Used]]&gt;=0.8,"WARNING","OK")))</f>
        <v>OK</v>
      </c>
      <c r="W210" s="1"/>
      <c r="X210" s="1"/>
    </row>
    <row r="211" spans="1:24" hidden="1">
      <c r="A211" s="4" t="s">
        <v>39</v>
      </c>
      <c r="B211" s="4"/>
      <c r="C211" s="4"/>
      <c r="D211" s="4"/>
      <c r="E211" s="4"/>
      <c r="F211" s="4"/>
      <c r="G211" s="6"/>
      <c r="H211" s="6"/>
      <c r="I211" s="32"/>
      <c r="J211" s="1"/>
      <c r="K211" s="4">
        <v>500</v>
      </c>
      <c r="L211" s="4" t="s">
        <v>122</v>
      </c>
      <c r="M211" s="4" t="s">
        <v>35</v>
      </c>
      <c r="N211" s="6"/>
      <c r="O211" s="1"/>
      <c r="P211" s="4">
        <v>0.13</v>
      </c>
      <c r="Q211" s="4">
        <v>0.13</v>
      </c>
      <c r="R211" s="4">
        <f>IF(
    OR(Dashboard_Query[[#This Row],[Monthly Allowance]]="",Dashboard_Query[[#This Row],[Current Usage]]=""),
    "",
    MAX(0,Dashboard_Query[[#This Row],[Monthly Allowance]]-Dashboard_Query[[#This Row],[Current Usage]])
)</f>
        <v>499.87</v>
      </c>
      <c r="S211" s="9">
        <f>IF(OR(Dashboard_Query[[#This Row],[Monthly Allowance]]="",Dashboard_Query[[#This Row],[Current Usage]]=""),"",Dashboard_Query[[#This Row],[Current Usage]]/Dashboard_Query[[#This Row],[Monthly Allowance]])</f>
        <v>2.6000000000000003E-4</v>
      </c>
      <c r="T211" s="9">
        <f>IF(Dashboard_Query[[#This Row],[% Used]]="","",1-Dashboard_Query[[#This Row],[% Used]])</f>
        <v>0.99973999999999996</v>
      </c>
      <c r="U211" s="4">
        <f>IF(OR(Dashboard_Query[[#This Row],[Monthly Allowance]]="",Dashboard_Query[[#This Row],[Current Usage]]=""),"",MAX(0,Dashboard_Query[[#This Row],[Current Usage]]-Dashboard_Query[[#This Row],[Monthly Allowance]]))</f>
        <v>0</v>
      </c>
      <c r="V211" s="4" t="str">
        <f>IF(Dashboard_Query[[#This Row],[Monthly Allowance]]="","",IF(Dashboard_Query[[#This Row],[Overage]]&gt;0,"OVER",IF(Dashboard_Query[[#This Row],[% Used]]&gt;=0.8,"WARNING","OK")))</f>
        <v>OK</v>
      </c>
      <c r="W211" s="1"/>
      <c r="X211" s="1"/>
    </row>
    <row r="212" spans="1:24" hidden="1">
      <c r="A212" s="4" t="s">
        <v>34</v>
      </c>
      <c r="B212" s="4"/>
      <c r="C212" s="4"/>
      <c r="D212" s="4"/>
      <c r="E212" s="4"/>
      <c r="F212" s="4"/>
      <c r="G212" s="6"/>
      <c r="H212" s="6"/>
      <c r="I212" s="32"/>
      <c r="J212" s="1"/>
      <c r="K212" s="4">
        <v>500</v>
      </c>
      <c r="L212" s="4" t="s">
        <v>122</v>
      </c>
      <c r="M212" s="4" t="s">
        <v>35</v>
      </c>
      <c r="N212" s="6"/>
      <c r="O212" s="1"/>
      <c r="P212" s="4">
        <v>0.12</v>
      </c>
      <c r="Q212" s="4">
        <v>0.12</v>
      </c>
      <c r="R212" s="4">
        <f>IF(
    OR(Dashboard_Query[[#This Row],[Monthly Allowance]]="",Dashboard_Query[[#This Row],[Current Usage]]=""),
    "",
    MAX(0,Dashboard_Query[[#This Row],[Monthly Allowance]]-Dashboard_Query[[#This Row],[Current Usage]])
)</f>
        <v>499.88</v>
      </c>
      <c r="S212" s="9">
        <f>IF(OR(Dashboard_Query[[#This Row],[Monthly Allowance]]="",Dashboard_Query[[#This Row],[Current Usage]]=""),"",Dashboard_Query[[#This Row],[Current Usage]]/Dashboard_Query[[#This Row],[Monthly Allowance]])</f>
        <v>2.3999999999999998E-4</v>
      </c>
      <c r="T212" s="9">
        <f>IF(Dashboard_Query[[#This Row],[% Used]]="","",1-Dashboard_Query[[#This Row],[% Used]])</f>
        <v>0.99975999999999998</v>
      </c>
      <c r="U212" s="4">
        <f>IF(OR(Dashboard_Query[[#This Row],[Monthly Allowance]]="",Dashboard_Query[[#This Row],[Current Usage]]=""),"",MAX(0,Dashboard_Query[[#This Row],[Current Usage]]-Dashboard_Query[[#This Row],[Monthly Allowance]]))</f>
        <v>0</v>
      </c>
      <c r="V212" s="4" t="str">
        <f>IF(Dashboard_Query[[#This Row],[Monthly Allowance]]="","",IF(Dashboard_Query[[#This Row],[Overage]]&gt;0,"OVER",IF(Dashboard_Query[[#This Row],[% Used]]&gt;=0.8,"WARNING","OK")))</f>
        <v>OK</v>
      </c>
      <c r="W212" s="1"/>
      <c r="X212" s="1"/>
    </row>
    <row r="213" spans="1:24" hidden="1">
      <c r="A213" s="4" t="s">
        <v>113</v>
      </c>
      <c r="B213" s="4"/>
      <c r="C213" s="4"/>
      <c r="D213" s="4"/>
      <c r="E213" s="4"/>
      <c r="F213" s="4"/>
      <c r="G213" s="6"/>
      <c r="H213" s="6"/>
      <c r="I213" s="32"/>
      <c r="J213" s="1"/>
      <c r="K213" s="4">
        <v>500</v>
      </c>
      <c r="L213" s="4" t="s">
        <v>122</v>
      </c>
      <c r="M213" s="4" t="s">
        <v>35</v>
      </c>
      <c r="N213" s="6"/>
      <c r="O213" s="1"/>
      <c r="P213" s="4">
        <v>0.12</v>
      </c>
      <c r="Q213" s="4">
        <v>0.12</v>
      </c>
      <c r="R213" s="4">
        <f>IF(
    OR(Dashboard_Query[[#This Row],[Monthly Allowance]]="",Dashboard_Query[[#This Row],[Current Usage]]=""),
    "",
    MAX(0,Dashboard_Query[[#This Row],[Monthly Allowance]]-Dashboard_Query[[#This Row],[Current Usage]])
)</f>
        <v>499.88</v>
      </c>
      <c r="S213" s="9">
        <f>IF(OR(Dashboard_Query[[#This Row],[Monthly Allowance]]="",Dashboard_Query[[#This Row],[Current Usage]]=""),"",Dashboard_Query[[#This Row],[Current Usage]]/Dashboard_Query[[#This Row],[Monthly Allowance]])</f>
        <v>2.3999999999999998E-4</v>
      </c>
      <c r="T213" s="9">
        <f>IF(Dashboard_Query[[#This Row],[% Used]]="","",1-Dashboard_Query[[#This Row],[% Used]])</f>
        <v>0.99975999999999998</v>
      </c>
      <c r="U213" s="4">
        <f>IF(OR(Dashboard_Query[[#This Row],[Monthly Allowance]]="",Dashboard_Query[[#This Row],[Current Usage]]=""),"",MAX(0,Dashboard_Query[[#This Row],[Current Usage]]-Dashboard_Query[[#This Row],[Monthly Allowance]]))</f>
        <v>0</v>
      </c>
      <c r="V213" s="4" t="str">
        <f>IF(Dashboard_Query[[#This Row],[Monthly Allowance]]="","",IF(Dashboard_Query[[#This Row],[Overage]]&gt;0,"OVER",IF(Dashboard_Query[[#This Row],[% Used]]&gt;=0.8,"WARNING","OK")))</f>
        <v>OK</v>
      </c>
      <c r="W213" s="1"/>
      <c r="X213" s="1"/>
    </row>
    <row r="214" spans="1:24" hidden="1">
      <c r="A214" s="4" t="s">
        <v>327</v>
      </c>
      <c r="B214" s="4">
        <v>812832</v>
      </c>
      <c r="C214" s="4"/>
      <c r="D214" s="4"/>
      <c r="E214" s="4"/>
      <c r="F214" s="4"/>
      <c r="G214" s="6"/>
      <c r="H214" s="6"/>
      <c r="I214" s="32"/>
      <c r="J214" s="1"/>
      <c r="K214" s="4">
        <v>500</v>
      </c>
      <c r="L214" s="4" t="s">
        <v>122</v>
      </c>
      <c r="M214" s="4" t="s">
        <v>35</v>
      </c>
      <c r="N214" s="6"/>
      <c r="O214" s="1"/>
      <c r="P214" s="4">
        <v>7.0000000000000007E-2</v>
      </c>
      <c r="Q214" s="4">
        <v>0.11000000000000626</v>
      </c>
      <c r="R214" s="4">
        <f>IF(
    OR(Dashboard_Query[[#This Row],[Monthly Allowance]]="",Dashboard_Query[[#This Row],[Current Usage]]=""),
    "",
    MAX(0,Dashboard_Query[[#This Row],[Monthly Allowance]]-Dashboard_Query[[#This Row],[Current Usage]])
)</f>
        <v>499.89</v>
      </c>
      <c r="S214" s="9">
        <f>IF(OR(Dashboard_Query[[#This Row],[Monthly Allowance]]="",Dashboard_Query[[#This Row],[Current Usage]]=""),"",Dashboard_Query[[#This Row],[Current Usage]]/Dashboard_Query[[#This Row],[Monthly Allowance]])</f>
        <v>2.2000000000001253E-4</v>
      </c>
      <c r="T214" s="9">
        <f>IF(Dashboard_Query[[#This Row],[% Used]]="","",1-Dashboard_Query[[#This Row],[% Used]])</f>
        <v>0.99978</v>
      </c>
      <c r="U214" s="4">
        <f>IF(OR(Dashboard_Query[[#This Row],[Monthly Allowance]]="",Dashboard_Query[[#This Row],[Current Usage]]=""),"",MAX(0,Dashboard_Query[[#This Row],[Current Usage]]-Dashboard_Query[[#This Row],[Monthly Allowance]]))</f>
        <v>0</v>
      </c>
      <c r="V214" s="4" t="str">
        <f>IF(Dashboard_Query[[#This Row],[Monthly Allowance]]="","",IF(Dashboard_Query[[#This Row],[Overage]]&gt;0,"OVER",IF(Dashboard_Query[[#This Row],[% Used]]&gt;=0.8,"WARNING","OK")))</f>
        <v>OK</v>
      </c>
      <c r="W214" s="1"/>
      <c r="X214" s="1"/>
    </row>
    <row r="215" spans="1:24" hidden="1">
      <c r="A215" s="4" t="s">
        <v>62</v>
      </c>
      <c r="B215" s="4"/>
      <c r="C215" s="4"/>
      <c r="D215" s="4"/>
      <c r="E215" s="4"/>
      <c r="F215" s="4"/>
      <c r="G215" s="6"/>
      <c r="H215" s="6"/>
      <c r="I215" s="32"/>
      <c r="J215" s="1"/>
      <c r="K215" s="4">
        <v>500</v>
      </c>
      <c r="L215" s="4" t="s">
        <v>122</v>
      </c>
      <c r="M215" s="4" t="s">
        <v>35</v>
      </c>
      <c r="N215" s="6"/>
      <c r="O215" s="1"/>
      <c r="P215" s="4">
        <v>0.1</v>
      </c>
      <c r="Q215" s="4">
        <v>0.1</v>
      </c>
      <c r="R215" s="4">
        <f>IF(
    OR(Dashboard_Query[[#This Row],[Monthly Allowance]]="",Dashboard_Query[[#This Row],[Current Usage]]=""),
    "",
    MAX(0,Dashboard_Query[[#This Row],[Monthly Allowance]]-Dashboard_Query[[#This Row],[Current Usage]])
)</f>
        <v>499.9</v>
      </c>
      <c r="S215" s="9">
        <f>IF(OR(Dashboard_Query[[#This Row],[Monthly Allowance]]="",Dashboard_Query[[#This Row],[Current Usage]]=""),"",Dashboard_Query[[#This Row],[Current Usage]]/Dashboard_Query[[#This Row],[Monthly Allowance]])</f>
        <v>2.0000000000000001E-4</v>
      </c>
      <c r="T215" s="9">
        <f>IF(Dashboard_Query[[#This Row],[% Used]]="","",1-Dashboard_Query[[#This Row],[% Used]])</f>
        <v>0.99980000000000002</v>
      </c>
      <c r="U215" s="4">
        <f>IF(OR(Dashboard_Query[[#This Row],[Monthly Allowance]]="",Dashboard_Query[[#This Row],[Current Usage]]=""),"",MAX(0,Dashboard_Query[[#This Row],[Current Usage]]-Dashboard_Query[[#This Row],[Monthly Allowance]]))</f>
        <v>0</v>
      </c>
      <c r="V215" s="4" t="str">
        <f>IF(Dashboard_Query[[#This Row],[Monthly Allowance]]="","",IF(Dashboard_Query[[#This Row],[Overage]]&gt;0,"OVER",IF(Dashboard_Query[[#This Row],[% Used]]&gt;=0.8,"WARNING","OK")))</f>
        <v>OK</v>
      </c>
      <c r="W215" s="1"/>
      <c r="X215" s="1"/>
    </row>
    <row r="216" spans="1:24" hidden="1">
      <c r="A216" s="4" t="s">
        <v>83</v>
      </c>
      <c r="B216" s="4"/>
      <c r="C216" s="4"/>
      <c r="D216" s="4"/>
      <c r="E216" s="4"/>
      <c r="F216" s="4"/>
      <c r="G216" s="6"/>
      <c r="H216" s="6"/>
      <c r="I216" s="32"/>
      <c r="J216" s="1"/>
      <c r="K216" s="4">
        <v>500</v>
      </c>
      <c r="L216" s="4" t="s">
        <v>122</v>
      </c>
      <c r="M216" s="4" t="s">
        <v>35</v>
      </c>
      <c r="N216" s="6"/>
      <c r="O216" s="1"/>
      <c r="P216" s="4">
        <v>0.1</v>
      </c>
      <c r="Q216" s="4">
        <v>0.1</v>
      </c>
      <c r="R216" s="4">
        <f>IF(
    OR(Dashboard_Query[[#This Row],[Monthly Allowance]]="",Dashboard_Query[[#This Row],[Current Usage]]=""),
    "",
    MAX(0,Dashboard_Query[[#This Row],[Monthly Allowance]]-Dashboard_Query[[#This Row],[Current Usage]])
)</f>
        <v>499.9</v>
      </c>
      <c r="S216" s="9">
        <f>IF(OR(Dashboard_Query[[#This Row],[Monthly Allowance]]="",Dashboard_Query[[#This Row],[Current Usage]]=""),"",Dashboard_Query[[#This Row],[Current Usage]]/Dashboard_Query[[#This Row],[Monthly Allowance]])</f>
        <v>2.0000000000000001E-4</v>
      </c>
      <c r="T216" s="9">
        <f>IF(Dashboard_Query[[#This Row],[% Used]]="","",1-Dashboard_Query[[#This Row],[% Used]])</f>
        <v>0.99980000000000002</v>
      </c>
      <c r="U216" s="4">
        <f>IF(OR(Dashboard_Query[[#This Row],[Monthly Allowance]]="",Dashboard_Query[[#This Row],[Current Usage]]=""),"",MAX(0,Dashboard_Query[[#This Row],[Current Usage]]-Dashboard_Query[[#This Row],[Monthly Allowance]]))</f>
        <v>0</v>
      </c>
      <c r="V216" s="4" t="str">
        <f>IF(Dashboard_Query[[#This Row],[Monthly Allowance]]="","",IF(Dashboard_Query[[#This Row],[Overage]]&gt;0,"OVER",IF(Dashboard_Query[[#This Row],[% Used]]&gt;=0.8,"WARNING","OK")))</f>
        <v>OK</v>
      </c>
      <c r="W216" s="1"/>
      <c r="X216" s="1"/>
    </row>
    <row r="217" spans="1:24" hidden="1">
      <c r="A217" s="4" t="s">
        <v>84</v>
      </c>
      <c r="B217" s="4"/>
      <c r="C217" s="4"/>
      <c r="D217" s="4"/>
      <c r="E217" s="4"/>
      <c r="F217" s="4"/>
      <c r="G217" s="6"/>
      <c r="H217" s="6"/>
      <c r="I217" s="32"/>
      <c r="J217" s="1"/>
      <c r="K217" s="4">
        <v>500</v>
      </c>
      <c r="L217" s="4" t="s">
        <v>122</v>
      </c>
      <c r="M217" s="4" t="s">
        <v>35</v>
      </c>
      <c r="N217" s="6"/>
      <c r="O217" s="1"/>
      <c r="P217" s="4">
        <v>0.1</v>
      </c>
      <c r="Q217" s="4">
        <v>0.1</v>
      </c>
      <c r="R217" s="4">
        <f>IF(
    OR(Dashboard_Query[[#This Row],[Monthly Allowance]]="",Dashboard_Query[[#This Row],[Current Usage]]=""),
    "",
    MAX(0,Dashboard_Query[[#This Row],[Monthly Allowance]]-Dashboard_Query[[#This Row],[Current Usage]])
)</f>
        <v>499.9</v>
      </c>
      <c r="S217" s="9">
        <f>IF(OR(Dashboard_Query[[#This Row],[Monthly Allowance]]="",Dashboard_Query[[#This Row],[Current Usage]]=""),"",Dashboard_Query[[#This Row],[Current Usage]]/Dashboard_Query[[#This Row],[Monthly Allowance]])</f>
        <v>2.0000000000000001E-4</v>
      </c>
      <c r="T217" s="9">
        <f>IF(Dashboard_Query[[#This Row],[% Used]]="","",1-Dashboard_Query[[#This Row],[% Used]])</f>
        <v>0.99980000000000002</v>
      </c>
      <c r="U217" s="4">
        <f>IF(OR(Dashboard_Query[[#This Row],[Monthly Allowance]]="",Dashboard_Query[[#This Row],[Current Usage]]=""),"",MAX(0,Dashboard_Query[[#This Row],[Current Usage]]-Dashboard_Query[[#This Row],[Monthly Allowance]]))</f>
        <v>0</v>
      </c>
      <c r="V217" s="4" t="str">
        <f>IF(Dashboard_Query[[#This Row],[Monthly Allowance]]="","",IF(Dashboard_Query[[#This Row],[Overage]]&gt;0,"OVER",IF(Dashboard_Query[[#This Row],[% Used]]&gt;=0.8,"WARNING","OK")))</f>
        <v>OK</v>
      </c>
      <c r="W217" s="1"/>
      <c r="X217" s="1"/>
    </row>
    <row r="218" spans="1:24" hidden="1">
      <c r="A218" s="4" t="s">
        <v>100</v>
      </c>
      <c r="B218" s="4"/>
      <c r="C218" s="4"/>
      <c r="D218" s="4"/>
      <c r="E218" s="4"/>
      <c r="F218" s="4"/>
      <c r="G218" s="6"/>
      <c r="H218" s="6"/>
      <c r="I218" s="32"/>
      <c r="J218" s="1"/>
      <c r="K218" s="4">
        <v>500</v>
      </c>
      <c r="L218" s="4" t="s">
        <v>122</v>
      </c>
      <c r="M218" s="4" t="s">
        <v>35</v>
      </c>
      <c r="N218" s="6"/>
      <c r="O218" s="1"/>
      <c r="P218" s="4">
        <v>0.1</v>
      </c>
      <c r="Q218" s="4">
        <v>0.1</v>
      </c>
      <c r="R218" s="4">
        <f>IF(
    OR(Dashboard_Query[[#This Row],[Monthly Allowance]]="",Dashboard_Query[[#This Row],[Current Usage]]=""),
    "",
    MAX(0,Dashboard_Query[[#This Row],[Monthly Allowance]]-Dashboard_Query[[#This Row],[Current Usage]])
)</f>
        <v>499.9</v>
      </c>
      <c r="S218" s="9">
        <f>IF(OR(Dashboard_Query[[#This Row],[Monthly Allowance]]="",Dashboard_Query[[#This Row],[Current Usage]]=""),"",Dashboard_Query[[#This Row],[Current Usage]]/Dashboard_Query[[#This Row],[Monthly Allowance]])</f>
        <v>2.0000000000000001E-4</v>
      </c>
      <c r="T218" s="9">
        <f>IF(Dashboard_Query[[#This Row],[% Used]]="","",1-Dashboard_Query[[#This Row],[% Used]])</f>
        <v>0.99980000000000002</v>
      </c>
      <c r="U218" s="4">
        <f>IF(OR(Dashboard_Query[[#This Row],[Monthly Allowance]]="",Dashboard_Query[[#This Row],[Current Usage]]=""),"",MAX(0,Dashboard_Query[[#This Row],[Current Usage]]-Dashboard_Query[[#This Row],[Monthly Allowance]]))</f>
        <v>0</v>
      </c>
      <c r="V218" s="4" t="str">
        <f>IF(Dashboard_Query[[#This Row],[Monthly Allowance]]="","",IF(Dashboard_Query[[#This Row],[Overage]]&gt;0,"OVER",IF(Dashboard_Query[[#This Row],[% Used]]&gt;=0.8,"WARNING","OK")))</f>
        <v>OK</v>
      </c>
      <c r="W218" s="1"/>
      <c r="X218" s="1"/>
    </row>
    <row r="219" spans="1:24" hidden="1">
      <c r="A219" s="4" t="s">
        <v>109</v>
      </c>
      <c r="B219" s="4"/>
      <c r="C219" s="4"/>
      <c r="D219" s="4"/>
      <c r="E219" s="4"/>
      <c r="F219" s="4"/>
      <c r="G219" s="6"/>
      <c r="H219" s="6"/>
      <c r="I219" s="32"/>
      <c r="J219" s="1"/>
      <c r="K219" s="4">
        <v>500</v>
      </c>
      <c r="L219" s="4" t="s">
        <v>122</v>
      </c>
      <c r="M219" s="4" t="s">
        <v>35</v>
      </c>
      <c r="N219" s="6"/>
      <c r="O219" s="1"/>
      <c r="P219" s="4">
        <v>0.1</v>
      </c>
      <c r="Q219" s="4">
        <v>0.1</v>
      </c>
      <c r="R219" s="4">
        <f>IF(
    OR(Dashboard_Query[[#This Row],[Monthly Allowance]]="",Dashboard_Query[[#This Row],[Current Usage]]=""),
    "",
    MAX(0,Dashboard_Query[[#This Row],[Monthly Allowance]]-Dashboard_Query[[#This Row],[Current Usage]])
)</f>
        <v>499.9</v>
      </c>
      <c r="S219" s="9">
        <f>IF(OR(Dashboard_Query[[#This Row],[Monthly Allowance]]="",Dashboard_Query[[#This Row],[Current Usage]]=""),"",Dashboard_Query[[#This Row],[Current Usage]]/Dashboard_Query[[#This Row],[Monthly Allowance]])</f>
        <v>2.0000000000000001E-4</v>
      </c>
      <c r="T219" s="9">
        <f>IF(Dashboard_Query[[#This Row],[% Used]]="","",1-Dashboard_Query[[#This Row],[% Used]])</f>
        <v>0.99980000000000002</v>
      </c>
      <c r="U219" s="4">
        <f>IF(OR(Dashboard_Query[[#This Row],[Monthly Allowance]]="",Dashboard_Query[[#This Row],[Current Usage]]=""),"",MAX(0,Dashboard_Query[[#This Row],[Current Usage]]-Dashboard_Query[[#This Row],[Monthly Allowance]]))</f>
        <v>0</v>
      </c>
      <c r="V219" s="4" t="str">
        <f>IF(Dashboard_Query[[#This Row],[Monthly Allowance]]="","",IF(Dashboard_Query[[#This Row],[Overage]]&gt;0,"OVER",IF(Dashboard_Query[[#This Row],[% Used]]&gt;=0.8,"WARNING","OK")))</f>
        <v>OK</v>
      </c>
      <c r="W219" s="1"/>
      <c r="X219" s="1"/>
    </row>
    <row r="220" spans="1:24">
      <c r="A220" s="4" t="s">
        <v>272</v>
      </c>
      <c r="B220" s="4">
        <v>809621</v>
      </c>
      <c r="C220" s="4" t="s">
        <v>477</v>
      </c>
      <c r="D220" s="4" t="s">
        <v>478</v>
      </c>
      <c r="E220" s="4" t="s">
        <v>479</v>
      </c>
      <c r="F220" s="4">
        <v>211122269</v>
      </c>
      <c r="G220" s="6">
        <v>46253</v>
      </c>
      <c r="H220" s="6">
        <v>46253</v>
      </c>
      <c r="I220" s="32">
        <v>46284</v>
      </c>
      <c r="J220" s="1">
        <v>26</v>
      </c>
      <c r="K220" s="4">
        <v>500</v>
      </c>
      <c r="L220" s="4" t="s">
        <v>122</v>
      </c>
      <c r="M220" s="4" t="s">
        <v>123</v>
      </c>
      <c r="N220" s="6">
        <v>46253</v>
      </c>
      <c r="O220" s="1"/>
      <c r="P220" s="4">
        <v>84.38</v>
      </c>
      <c r="Q220" s="4">
        <v>9.9999999999994316E-2</v>
      </c>
      <c r="R220" s="4">
        <f>IF(
    OR(Dashboard_Query[[#This Row],[Monthly Allowance]]="",Dashboard_Query[[#This Row],[Current Usage]]=""),
    "",
    MAX(0,Dashboard_Query[[#This Row],[Monthly Allowance]]-Dashboard_Query[[#This Row],[Current Usage]])
)</f>
        <v>499.9</v>
      </c>
      <c r="S220" s="9">
        <f>IF(OR(Dashboard_Query[[#This Row],[Monthly Allowance]]="",Dashboard_Query[[#This Row],[Current Usage]]=""),"",Dashboard_Query[[#This Row],[Current Usage]]/Dashboard_Query[[#This Row],[Monthly Allowance]])</f>
        <v>1.9999999999998863E-4</v>
      </c>
      <c r="T220" s="9">
        <f>IF(Dashboard_Query[[#This Row],[% Used]]="","",1-Dashboard_Query[[#This Row],[% Used]])</f>
        <v>0.99980000000000002</v>
      </c>
      <c r="U220" s="4">
        <f>IF(OR(Dashboard_Query[[#This Row],[Monthly Allowance]]="",Dashboard_Query[[#This Row],[Current Usage]]=""),"",MAX(0,Dashboard_Query[[#This Row],[Current Usage]]-Dashboard_Query[[#This Row],[Monthly Allowance]]))</f>
        <v>0</v>
      </c>
      <c r="V220" s="4" t="str">
        <f>IF(Dashboard_Query[[#This Row],[Monthly Allowance]]="","",IF(Dashboard_Query[[#This Row],[Overage]]&gt;0,"OVER",IF(Dashboard_Query[[#This Row],[% Used]]&gt;=0.8,"WARNING","OK")))</f>
        <v>OK</v>
      </c>
      <c r="W220" s="9"/>
      <c r="X220" s="4"/>
    </row>
    <row r="221" spans="1:24" hidden="1">
      <c r="A221" s="4" t="s">
        <v>42</v>
      </c>
      <c r="B221" s="4"/>
      <c r="C221" s="4"/>
      <c r="D221" s="4"/>
      <c r="E221" s="4"/>
      <c r="F221" s="4"/>
      <c r="G221" s="6"/>
      <c r="H221" s="6"/>
      <c r="I221" s="32"/>
      <c r="J221" s="1"/>
      <c r="K221" s="4">
        <v>500</v>
      </c>
      <c r="L221" s="4" t="s">
        <v>122</v>
      </c>
      <c r="M221" s="4" t="s">
        <v>35</v>
      </c>
      <c r="N221" s="6"/>
      <c r="O221" s="1"/>
      <c r="P221" s="4">
        <v>0.09</v>
      </c>
      <c r="Q221" s="4">
        <v>0.09</v>
      </c>
      <c r="R221" s="4">
        <f>IF(
    OR(Dashboard_Query[[#This Row],[Monthly Allowance]]="",Dashboard_Query[[#This Row],[Current Usage]]=""),
    "",
    MAX(0,Dashboard_Query[[#This Row],[Monthly Allowance]]-Dashboard_Query[[#This Row],[Current Usage]])
)</f>
        <v>499.91</v>
      </c>
      <c r="S221" s="9">
        <f>IF(OR(Dashboard_Query[[#This Row],[Monthly Allowance]]="",Dashboard_Query[[#This Row],[Current Usage]]=""),"",Dashboard_Query[[#This Row],[Current Usage]]/Dashboard_Query[[#This Row],[Monthly Allowance]])</f>
        <v>1.7999999999999998E-4</v>
      </c>
      <c r="T221" s="9">
        <f>IF(Dashboard_Query[[#This Row],[% Used]]="","",1-Dashboard_Query[[#This Row],[% Used]])</f>
        <v>0.99982000000000004</v>
      </c>
      <c r="U221" s="4">
        <f>IF(OR(Dashboard_Query[[#This Row],[Monthly Allowance]]="",Dashboard_Query[[#This Row],[Current Usage]]=""),"",MAX(0,Dashboard_Query[[#This Row],[Current Usage]]-Dashboard_Query[[#This Row],[Monthly Allowance]]))</f>
        <v>0</v>
      </c>
      <c r="V221" s="4" t="str">
        <f>IF(Dashboard_Query[[#This Row],[Monthly Allowance]]="","",IF(Dashboard_Query[[#This Row],[Overage]]&gt;0,"OVER",IF(Dashboard_Query[[#This Row],[% Used]]&gt;=0.8,"WARNING","OK")))</f>
        <v>OK</v>
      </c>
      <c r="W221" s="9"/>
      <c r="X221" s="4"/>
    </row>
    <row r="222" spans="1:24" hidden="1">
      <c r="A222" s="4" t="s">
        <v>43</v>
      </c>
      <c r="B222" s="4"/>
      <c r="C222" s="4"/>
      <c r="D222" s="4"/>
      <c r="E222" s="4"/>
      <c r="F222" s="4"/>
      <c r="G222" s="6"/>
      <c r="H222" s="6"/>
      <c r="I222" s="32"/>
      <c r="J222" s="1"/>
      <c r="K222" s="4">
        <v>500</v>
      </c>
      <c r="L222" s="4" t="s">
        <v>122</v>
      </c>
      <c r="M222" s="4" t="s">
        <v>35</v>
      </c>
      <c r="N222" s="6"/>
      <c r="O222" s="1"/>
      <c r="P222" s="4">
        <v>0.09</v>
      </c>
      <c r="Q222" s="4">
        <v>0.09</v>
      </c>
      <c r="R222" s="4">
        <f>IF(
    OR(Dashboard_Query[[#This Row],[Monthly Allowance]]="",Dashboard_Query[[#This Row],[Current Usage]]=""),
    "",
    MAX(0,Dashboard_Query[[#This Row],[Monthly Allowance]]-Dashboard_Query[[#This Row],[Current Usage]])
)</f>
        <v>499.91</v>
      </c>
      <c r="S222" s="9">
        <f>IF(OR(Dashboard_Query[[#This Row],[Monthly Allowance]]="",Dashboard_Query[[#This Row],[Current Usage]]=""),"",Dashboard_Query[[#This Row],[Current Usage]]/Dashboard_Query[[#This Row],[Monthly Allowance]])</f>
        <v>1.7999999999999998E-4</v>
      </c>
      <c r="T222" s="9">
        <f>IF(Dashboard_Query[[#This Row],[% Used]]="","",1-Dashboard_Query[[#This Row],[% Used]])</f>
        <v>0.99982000000000004</v>
      </c>
      <c r="U222" s="4">
        <f>IF(OR(Dashboard_Query[[#This Row],[Monthly Allowance]]="",Dashboard_Query[[#This Row],[Current Usage]]=""),"",MAX(0,Dashboard_Query[[#This Row],[Current Usage]]-Dashboard_Query[[#This Row],[Monthly Allowance]]))</f>
        <v>0</v>
      </c>
      <c r="V222" s="4" t="str">
        <f>IF(Dashboard_Query[[#This Row],[Monthly Allowance]]="","",IF(Dashboard_Query[[#This Row],[Overage]]&gt;0,"OVER",IF(Dashboard_Query[[#This Row],[% Used]]&gt;=0.8,"WARNING","OK")))</f>
        <v>OK</v>
      </c>
      <c r="W222" s="9"/>
      <c r="X222" s="4"/>
    </row>
    <row r="223" spans="1:24" hidden="1">
      <c r="A223" s="4" t="s">
        <v>44</v>
      </c>
      <c r="B223" s="4"/>
      <c r="C223" s="4"/>
      <c r="D223" s="4"/>
      <c r="E223" s="4"/>
      <c r="F223" s="4"/>
      <c r="G223" s="6"/>
      <c r="H223" s="6"/>
      <c r="I223" s="32"/>
      <c r="J223" s="1"/>
      <c r="K223" s="4">
        <v>500</v>
      </c>
      <c r="L223" s="4" t="s">
        <v>122</v>
      </c>
      <c r="M223" s="4" t="s">
        <v>35</v>
      </c>
      <c r="N223" s="6"/>
      <c r="O223" s="1"/>
      <c r="P223" s="4">
        <v>0.09</v>
      </c>
      <c r="Q223" s="4">
        <v>0.09</v>
      </c>
      <c r="R223" s="4">
        <f>IF(
    OR(Dashboard_Query[[#This Row],[Monthly Allowance]]="",Dashboard_Query[[#This Row],[Current Usage]]=""),
    "",
    MAX(0,Dashboard_Query[[#This Row],[Monthly Allowance]]-Dashboard_Query[[#This Row],[Current Usage]])
)</f>
        <v>499.91</v>
      </c>
      <c r="S223" s="9">
        <f>IF(OR(Dashboard_Query[[#This Row],[Monthly Allowance]]="",Dashboard_Query[[#This Row],[Current Usage]]=""),"",Dashboard_Query[[#This Row],[Current Usage]]/Dashboard_Query[[#This Row],[Monthly Allowance]])</f>
        <v>1.7999999999999998E-4</v>
      </c>
      <c r="T223" s="9">
        <f>IF(Dashboard_Query[[#This Row],[% Used]]="","",1-Dashboard_Query[[#This Row],[% Used]])</f>
        <v>0.99982000000000004</v>
      </c>
      <c r="U223" s="4">
        <f>IF(OR(Dashboard_Query[[#This Row],[Monthly Allowance]]="",Dashboard_Query[[#This Row],[Current Usage]]=""),"",MAX(0,Dashboard_Query[[#This Row],[Current Usage]]-Dashboard_Query[[#This Row],[Monthly Allowance]]))</f>
        <v>0</v>
      </c>
      <c r="V223" s="4" t="str">
        <f>IF(Dashboard_Query[[#This Row],[Monthly Allowance]]="","",IF(Dashboard_Query[[#This Row],[Overage]]&gt;0,"OVER",IF(Dashboard_Query[[#This Row],[% Used]]&gt;=0.8,"WARNING","OK")))</f>
        <v>OK</v>
      </c>
      <c r="W223" s="9"/>
      <c r="X223" s="4"/>
    </row>
    <row r="224" spans="1:24" hidden="1">
      <c r="A224" s="4" t="s">
        <v>45</v>
      </c>
      <c r="B224" s="4"/>
      <c r="C224" s="4"/>
      <c r="D224" s="4"/>
      <c r="E224" s="4"/>
      <c r="F224" s="4"/>
      <c r="G224" s="6"/>
      <c r="H224" s="6"/>
      <c r="I224" s="32"/>
      <c r="J224" s="1"/>
      <c r="K224" s="4">
        <v>500</v>
      </c>
      <c r="L224" s="4" t="s">
        <v>122</v>
      </c>
      <c r="M224" s="4" t="s">
        <v>35</v>
      </c>
      <c r="N224" s="6"/>
      <c r="O224" s="1"/>
      <c r="P224" s="4">
        <v>0.09</v>
      </c>
      <c r="Q224" s="4">
        <v>0.09</v>
      </c>
      <c r="R224" s="4">
        <f>IF(
    OR(Dashboard_Query[[#This Row],[Monthly Allowance]]="",Dashboard_Query[[#This Row],[Current Usage]]=""),
    "",
    MAX(0,Dashboard_Query[[#This Row],[Monthly Allowance]]-Dashboard_Query[[#This Row],[Current Usage]])
)</f>
        <v>499.91</v>
      </c>
      <c r="S224" s="9">
        <f>IF(OR(Dashboard_Query[[#This Row],[Monthly Allowance]]="",Dashboard_Query[[#This Row],[Current Usage]]=""),"",Dashboard_Query[[#This Row],[Current Usage]]/Dashboard_Query[[#This Row],[Monthly Allowance]])</f>
        <v>1.7999999999999998E-4</v>
      </c>
      <c r="T224" s="9">
        <f>IF(Dashboard_Query[[#This Row],[% Used]]="","",1-Dashboard_Query[[#This Row],[% Used]])</f>
        <v>0.99982000000000004</v>
      </c>
      <c r="U224" s="4">
        <f>IF(OR(Dashboard_Query[[#This Row],[Monthly Allowance]]="",Dashboard_Query[[#This Row],[Current Usage]]=""),"",MAX(0,Dashboard_Query[[#This Row],[Current Usage]]-Dashboard_Query[[#This Row],[Monthly Allowance]]))</f>
        <v>0</v>
      </c>
      <c r="V224" s="4" t="str">
        <f>IF(Dashboard_Query[[#This Row],[Monthly Allowance]]="","",IF(Dashboard_Query[[#This Row],[Overage]]&gt;0,"OVER",IF(Dashboard_Query[[#This Row],[% Used]]&gt;=0.8,"WARNING","OK")))</f>
        <v>OK</v>
      </c>
      <c r="W224" s="9"/>
      <c r="X224" s="4"/>
    </row>
    <row r="225" spans="1:22" hidden="1">
      <c r="A225" s="4" t="s">
        <v>47</v>
      </c>
      <c r="B225" s="4"/>
      <c r="C225" s="4"/>
      <c r="D225" s="4"/>
      <c r="E225" s="4"/>
      <c r="F225" s="4"/>
      <c r="G225" s="6"/>
      <c r="H225" s="6"/>
      <c r="I225" s="32"/>
      <c r="J225" s="1"/>
      <c r="K225" s="4">
        <v>500</v>
      </c>
      <c r="L225" s="4" t="s">
        <v>122</v>
      </c>
      <c r="M225" s="4" t="s">
        <v>35</v>
      </c>
      <c r="N225" s="6"/>
      <c r="O225" s="1"/>
      <c r="P225" s="4">
        <v>0.09</v>
      </c>
      <c r="Q225" s="4">
        <v>0.09</v>
      </c>
      <c r="R225" s="4">
        <f>IF(
    OR(Dashboard_Query[[#This Row],[Monthly Allowance]]="",Dashboard_Query[[#This Row],[Current Usage]]=""),
    "",
    MAX(0,Dashboard_Query[[#This Row],[Monthly Allowance]]-Dashboard_Query[[#This Row],[Current Usage]])
)</f>
        <v>499.91</v>
      </c>
      <c r="S225" s="9">
        <f>IF(OR(Dashboard_Query[[#This Row],[Monthly Allowance]]="",Dashboard_Query[[#This Row],[Current Usage]]=""),"",Dashboard_Query[[#This Row],[Current Usage]]/Dashboard_Query[[#This Row],[Monthly Allowance]])</f>
        <v>1.7999999999999998E-4</v>
      </c>
      <c r="T225" s="9">
        <f>IF(Dashboard_Query[[#This Row],[% Used]]="","",1-Dashboard_Query[[#This Row],[% Used]])</f>
        <v>0.99982000000000004</v>
      </c>
      <c r="U225" s="4">
        <f>IF(OR(Dashboard_Query[[#This Row],[Monthly Allowance]]="",Dashboard_Query[[#This Row],[Current Usage]]=""),"",MAX(0,Dashboard_Query[[#This Row],[Current Usage]]-Dashboard_Query[[#This Row],[Monthly Allowance]]))</f>
        <v>0</v>
      </c>
      <c r="V225" s="4" t="str">
        <f>IF(Dashboard_Query[[#This Row],[Monthly Allowance]]="","",IF(Dashboard_Query[[#This Row],[Overage]]&gt;0,"OVER",IF(Dashboard_Query[[#This Row],[% Used]]&gt;=0.8,"WARNING","OK")))</f>
        <v>OK</v>
      </c>
    </row>
    <row r="226" spans="1:22" hidden="1">
      <c r="A226" s="4" t="s">
        <v>50</v>
      </c>
      <c r="B226" s="4"/>
      <c r="C226" s="4"/>
      <c r="D226" s="4"/>
      <c r="E226" s="4"/>
      <c r="F226" s="4"/>
      <c r="G226" s="6"/>
      <c r="H226" s="6"/>
      <c r="I226" s="32"/>
      <c r="J226" s="1"/>
      <c r="K226" s="4">
        <v>500</v>
      </c>
      <c r="L226" s="4" t="s">
        <v>122</v>
      </c>
      <c r="M226" s="4" t="s">
        <v>35</v>
      </c>
      <c r="N226" s="6"/>
      <c r="O226" s="1"/>
      <c r="P226" s="4">
        <v>0.09</v>
      </c>
      <c r="Q226" s="4">
        <v>0.09</v>
      </c>
      <c r="R226" s="4">
        <f>IF(
    OR(Dashboard_Query[[#This Row],[Monthly Allowance]]="",Dashboard_Query[[#This Row],[Current Usage]]=""),
    "",
    MAX(0,Dashboard_Query[[#This Row],[Monthly Allowance]]-Dashboard_Query[[#This Row],[Current Usage]])
)</f>
        <v>499.91</v>
      </c>
      <c r="S226" s="9">
        <f>IF(OR(Dashboard_Query[[#This Row],[Monthly Allowance]]="",Dashboard_Query[[#This Row],[Current Usage]]=""),"",Dashboard_Query[[#This Row],[Current Usage]]/Dashboard_Query[[#This Row],[Monthly Allowance]])</f>
        <v>1.7999999999999998E-4</v>
      </c>
      <c r="T226" s="9">
        <f>IF(Dashboard_Query[[#This Row],[% Used]]="","",1-Dashboard_Query[[#This Row],[% Used]])</f>
        <v>0.99982000000000004</v>
      </c>
      <c r="U226" s="4">
        <f>IF(OR(Dashboard_Query[[#This Row],[Monthly Allowance]]="",Dashboard_Query[[#This Row],[Current Usage]]=""),"",MAX(0,Dashboard_Query[[#This Row],[Current Usage]]-Dashboard_Query[[#This Row],[Monthly Allowance]]))</f>
        <v>0</v>
      </c>
      <c r="V226" s="4" t="str">
        <f>IF(Dashboard_Query[[#This Row],[Monthly Allowance]]="","",IF(Dashboard_Query[[#This Row],[Overage]]&gt;0,"OVER",IF(Dashboard_Query[[#This Row],[% Used]]&gt;=0.8,"WARNING","OK")))</f>
        <v>OK</v>
      </c>
    </row>
    <row r="227" spans="1:22" hidden="1">
      <c r="A227" s="4" t="s">
        <v>63</v>
      </c>
      <c r="B227" s="4"/>
      <c r="C227" s="4"/>
      <c r="D227" s="4"/>
      <c r="E227" s="4"/>
      <c r="F227" s="4"/>
      <c r="G227" s="6"/>
      <c r="H227" s="6"/>
      <c r="I227" s="32"/>
      <c r="J227" s="1"/>
      <c r="K227" s="4">
        <v>500</v>
      </c>
      <c r="L227" s="4" t="s">
        <v>122</v>
      </c>
      <c r="M227" s="4" t="s">
        <v>35</v>
      </c>
      <c r="N227" s="6"/>
      <c r="O227" s="1"/>
      <c r="P227" s="4">
        <v>0.09</v>
      </c>
      <c r="Q227" s="4">
        <v>0.09</v>
      </c>
      <c r="R227" s="4">
        <f>IF(
    OR(Dashboard_Query[[#This Row],[Monthly Allowance]]="",Dashboard_Query[[#This Row],[Current Usage]]=""),
    "",
    MAX(0,Dashboard_Query[[#This Row],[Monthly Allowance]]-Dashboard_Query[[#This Row],[Current Usage]])
)</f>
        <v>499.91</v>
      </c>
      <c r="S227" s="9">
        <f>IF(OR(Dashboard_Query[[#This Row],[Monthly Allowance]]="",Dashboard_Query[[#This Row],[Current Usage]]=""),"",Dashboard_Query[[#This Row],[Current Usage]]/Dashboard_Query[[#This Row],[Monthly Allowance]])</f>
        <v>1.7999999999999998E-4</v>
      </c>
      <c r="T227" s="9">
        <f>IF(Dashboard_Query[[#This Row],[% Used]]="","",1-Dashboard_Query[[#This Row],[% Used]])</f>
        <v>0.99982000000000004</v>
      </c>
      <c r="U227" s="4">
        <f>IF(OR(Dashboard_Query[[#This Row],[Monthly Allowance]]="",Dashboard_Query[[#This Row],[Current Usage]]=""),"",MAX(0,Dashboard_Query[[#This Row],[Current Usage]]-Dashboard_Query[[#This Row],[Monthly Allowance]]))</f>
        <v>0</v>
      </c>
      <c r="V227" s="4" t="str">
        <f>IF(Dashboard_Query[[#This Row],[Monthly Allowance]]="","",IF(Dashboard_Query[[#This Row],[Overage]]&gt;0,"OVER",IF(Dashboard_Query[[#This Row],[% Used]]&gt;=0.8,"WARNING","OK")))</f>
        <v>OK</v>
      </c>
    </row>
    <row r="228" spans="1:22" hidden="1">
      <c r="A228" s="4" t="s">
        <v>64</v>
      </c>
      <c r="B228" s="4"/>
      <c r="C228" s="4"/>
      <c r="D228" s="4"/>
      <c r="E228" s="4"/>
      <c r="F228" s="4"/>
      <c r="G228" s="6"/>
      <c r="H228" s="6"/>
      <c r="I228" s="32"/>
      <c r="J228" s="1"/>
      <c r="K228" s="4">
        <v>500</v>
      </c>
      <c r="L228" s="4" t="s">
        <v>122</v>
      </c>
      <c r="M228" s="4" t="s">
        <v>35</v>
      </c>
      <c r="N228" s="6"/>
      <c r="O228" s="1"/>
      <c r="P228" s="4">
        <v>0.09</v>
      </c>
      <c r="Q228" s="4">
        <v>0.09</v>
      </c>
      <c r="R228" s="4">
        <f>IF(
    OR(Dashboard_Query[[#This Row],[Monthly Allowance]]="",Dashboard_Query[[#This Row],[Current Usage]]=""),
    "",
    MAX(0,Dashboard_Query[[#This Row],[Monthly Allowance]]-Dashboard_Query[[#This Row],[Current Usage]])
)</f>
        <v>499.91</v>
      </c>
      <c r="S228" s="9">
        <f>IF(OR(Dashboard_Query[[#This Row],[Monthly Allowance]]="",Dashboard_Query[[#This Row],[Current Usage]]=""),"",Dashboard_Query[[#This Row],[Current Usage]]/Dashboard_Query[[#This Row],[Monthly Allowance]])</f>
        <v>1.7999999999999998E-4</v>
      </c>
      <c r="T228" s="9">
        <f>IF(Dashboard_Query[[#This Row],[% Used]]="","",1-Dashboard_Query[[#This Row],[% Used]])</f>
        <v>0.99982000000000004</v>
      </c>
      <c r="U228" s="4">
        <f>IF(OR(Dashboard_Query[[#This Row],[Monthly Allowance]]="",Dashboard_Query[[#This Row],[Current Usage]]=""),"",MAX(0,Dashboard_Query[[#This Row],[Current Usage]]-Dashboard_Query[[#This Row],[Monthly Allowance]]))</f>
        <v>0</v>
      </c>
      <c r="V228" s="4" t="str">
        <f>IF(Dashboard_Query[[#This Row],[Monthly Allowance]]="","",IF(Dashboard_Query[[#This Row],[Overage]]&gt;0,"OVER",IF(Dashboard_Query[[#This Row],[% Used]]&gt;=0.8,"WARNING","OK")))</f>
        <v>OK</v>
      </c>
    </row>
    <row r="229" spans="1:22" hidden="1">
      <c r="A229" s="4" t="s">
        <v>68</v>
      </c>
      <c r="B229" s="4"/>
      <c r="C229" s="4"/>
      <c r="D229" s="4"/>
      <c r="E229" s="4"/>
      <c r="F229" s="4"/>
      <c r="G229" s="6"/>
      <c r="H229" s="6"/>
      <c r="I229" s="32"/>
      <c r="J229" s="1"/>
      <c r="K229" s="4">
        <v>500</v>
      </c>
      <c r="L229" s="4" t="s">
        <v>122</v>
      </c>
      <c r="M229" s="4" t="s">
        <v>35</v>
      </c>
      <c r="N229" s="6"/>
      <c r="O229" s="1"/>
      <c r="P229" s="4">
        <v>0.09</v>
      </c>
      <c r="Q229" s="4">
        <v>0.09</v>
      </c>
      <c r="R229" s="4">
        <f>IF(
    OR(Dashboard_Query[[#This Row],[Monthly Allowance]]="",Dashboard_Query[[#This Row],[Current Usage]]=""),
    "",
    MAX(0,Dashboard_Query[[#This Row],[Monthly Allowance]]-Dashboard_Query[[#This Row],[Current Usage]])
)</f>
        <v>499.91</v>
      </c>
      <c r="S229" s="9">
        <f>IF(OR(Dashboard_Query[[#This Row],[Monthly Allowance]]="",Dashboard_Query[[#This Row],[Current Usage]]=""),"",Dashboard_Query[[#This Row],[Current Usage]]/Dashboard_Query[[#This Row],[Monthly Allowance]])</f>
        <v>1.7999999999999998E-4</v>
      </c>
      <c r="T229" s="9">
        <f>IF(Dashboard_Query[[#This Row],[% Used]]="","",1-Dashboard_Query[[#This Row],[% Used]])</f>
        <v>0.99982000000000004</v>
      </c>
      <c r="U229" s="4">
        <f>IF(OR(Dashboard_Query[[#This Row],[Monthly Allowance]]="",Dashboard_Query[[#This Row],[Current Usage]]=""),"",MAX(0,Dashboard_Query[[#This Row],[Current Usage]]-Dashboard_Query[[#This Row],[Monthly Allowance]]))</f>
        <v>0</v>
      </c>
      <c r="V229" s="4" t="str">
        <f>IF(Dashboard_Query[[#This Row],[Monthly Allowance]]="","",IF(Dashboard_Query[[#This Row],[Overage]]&gt;0,"OVER",IF(Dashboard_Query[[#This Row],[% Used]]&gt;=0.8,"WARNING","OK")))</f>
        <v>OK</v>
      </c>
    </row>
    <row r="230" spans="1:22" hidden="1">
      <c r="A230" s="4" t="s">
        <v>81</v>
      </c>
      <c r="B230" s="4"/>
      <c r="C230" s="4"/>
      <c r="D230" s="4"/>
      <c r="E230" s="4"/>
      <c r="F230" s="4"/>
      <c r="G230" s="6"/>
      <c r="H230" s="6"/>
      <c r="I230" s="32"/>
      <c r="J230" s="1"/>
      <c r="K230" s="4">
        <v>500</v>
      </c>
      <c r="L230" s="4" t="s">
        <v>122</v>
      </c>
      <c r="M230" s="4" t="s">
        <v>35</v>
      </c>
      <c r="N230" s="6"/>
      <c r="O230" s="1"/>
      <c r="P230" s="4">
        <v>0.09</v>
      </c>
      <c r="Q230" s="4">
        <v>0.09</v>
      </c>
      <c r="R230" s="4">
        <f>IF(
    OR(Dashboard_Query[[#This Row],[Monthly Allowance]]="",Dashboard_Query[[#This Row],[Current Usage]]=""),
    "",
    MAX(0,Dashboard_Query[[#This Row],[Monthly Allowance]]-Dashboard_Query[[#This Row],[Current Usage]])
)</f>
        <v>499.91</v>
      </c>
      <c r="S230" s="9">
        <f>IF(OR(Dashboard_Query[[#This Row],[Monthly Allowance]]="",Dashboard_Query[[#This Row],[Current Usage]]=""),"",Dashboard_Query[[#This Row],[Current Usage]]/Dashboard_Query[[#This Row],[Monthly Allowance]])</f>
        <v>1.7999999999999998E-4</v>
      </c>
      <c r="T230" s="9">
        <f>IF(Dashboard_Query[[#This Row],[% Used]]="","",1-Dashboard_Query[[#This Row],[% Used]])</f>
        <v>0.99982000000000004</v>
      </c>
      <c r="U230" s="4">
        <f>IF(OR(Dashboard_Query[[#This Row],[Monthly Allowance]]="",Dashboard_Query[[#This Row],[Current Usage]]=""),"",MAX(0,Dashboard_Query[[#This Row],[Current Usage]]-Dashboard_Query[[#This Row],[Monthly Allowance]]))</f>
        <v>0</v>
      </c>
      <c r="V230" s="4" t="str">
        <f>IF(Dashboard_Query[[#This Row],[Monthly Allowance]]="","",IF(Dashboard_Query[[#This Row],[Overage]]&gt;0,"OVER",IF(Dashboard_Query[[#This Row],[% Used]]&gt;=0.8,"WARNING","OK")))</f>
        <v>OK</v>
      </c>
    </row>
    <row r="231" spans="1:22" hidden="1">
      <c r="A231" s="4" t="s">
        <v>86</v>
      </c>
      <c r="B231" s="4"/>
      <c r="C231" s="4"/>
      <c r="D231" s="4"/>
      <c r="E231" s="4"/>
      <c r="F231" s="4"/>
      <c r="G231" s="6"/>
      <c r="H231" s="6"/>
      <c r="I231" s="32"/>
      <c r="J231" s="1"/>
      <c r="K231" s="4">
        <v>500</v>
      </c>
      <c r="L231" s="4" t="s">
        <v>122</v>
      </c>
      <c r="M231" s="4" t="s">
        <v>35</v>
      </c>
      <c r="N231" s="6"/>
      <c r="O231" s="1"/>
      <c r="P231" s="4">
        <v>0.09</v>
      </c>
      <c r="Q231" s="4">
        <v>0.09</v>
      </c>
      <c r="R231" s="4">
        <f>IF(
    OR(Dashboard_Query[[#This Row],[Monthly Allowance]]="",Dashboard_Query[[#This Row],[Current Usage]]=""),
    "",
    MAX(0,Dashboard_Query[[#This Row],[Monthly Allowance]]-Dashboard_Query[[#This Row],[Current Usage]])
)</f>
        <v>499.91</v>
      </c>
      <c r="S231" s="9">
        <f>IF(OR(Dashboard_Query[[#This Row],[Monthly Allowance]]="",Dashboard_Query[[#This Row],[Current Usage]]=""),"",Dashboard_Query[[#This Row],[Current Usage]]/Dashboard_Query[[#This Row],[Monthly Allowance]])</f>
        <v>1.7999999999999998E-4</v>
      </c>
      <c r="T231" s="9">
        <f>IF(Dashboard_Query[[#This Row],[% Used]]="","",1-Dashboard_Query[[#This Row],[% Used]])</f>
        <v>0.99982000000000004</v>
      </c>
      <c r="U231" s="4">
        <f>IF(OR(Dashboard_Query[[#This Row],[Monthly Allowance]]="",Dashboard_Query[[#This Row],[Current Usage]]=""),"",MAX(0,Dashboard_Query[[#This Row],[Current Usage]]-Dashboard_Query[[#This Row],[Monthly Allowance]]))</f>
        <v>0</v>
      </c>
      <c r="V231" s="4" t="str">
        <f>IF(Dashboard_Query[[#This Row],[Monthly Allowance]]="","",IF(Dashboard_Query[[#This Row],[Overage]]&gt;0,"OVER",IF(Dashboard_Query[[#This Row],[% Used]]&gt;=0.8,"WARNING","OK")))</f>
        <v>OK</v>
      </c>
    </row>
    <row r="232" spans="1:22" hidden="1">
      <c r="A232" s="4" t="s">
        <v>88</v>
      </c>
      <c r="B232" s="4"/>
      <c r="C232" s="4"/>
      <c r="D232" s="4"/>
      <c r="E232" s="4"/>
      <c r="F232" s="4"/>
      <c r="G232" s="6"/>
      <c r="H232" s="6"/>
      <c r="I232" s="32"/>
      <c r="J232" s="1"/>
      <c r="K232" s="4">
        <v>500</v>
      </c>
      <c r="L232" s="4" t="s">
        <v>122</v>
      </c>
      <c r="M232" s="4" t="s">
        <v>35</v>
      </c>
      <c r="N232" s="6"/>
      <c r="O232" s="1"/>
      <c r="P232" s="4">
        <v>0.09</v>
      </c>
      <c r="Q232" s="4">
        <v>0.09</v>
      </c>
      <c r="R232" s="4">
        <f>IF(
    OR(Dashboard_Query[[#This Row],[Monthly Allowance]]="",Dashboard_Query[[#This Row],[Current Usage]]=""),
    "",
    MAX(0,Dashboard_Query[[#This Row],[Monthly Allowance]]-Dashboard_Query[[#This Row],[Current Usage]])
)</f>
        <v>499.91</v>
      </c>
      <c r="S232" s="9">
        <f>IF(OR(Dashboard_Query[[#This Row],[Monthly Allowance]]="",Dashboard_Query[[#This Row],[Current Usage]]=""),"",Dashboard_Query[[#This Row],[Current Usage]]/Dashboard_Query[[#This Row],[Monthly Allowance]])</f>
        <v>1.7999999999999998E-4</v>
      </c>
      <c r="T232" s="9">
        <f>IF(Dashboard_Query[[#This Row],[% Used]]="","",1-Dashboard_Query[[#This Row],[% Used]])</f>
        <v>0.99982000000000004</v>
      </c>
      <c r="U232" s="4">
        <f>IF(OR(Dashboard_Query[[#This Row],[Monthly Allowance]]="",Dashboard_Query[[#This Row],[Current Usage]]=""),"",MAX(0,Dashboard_Query[[#This Row],[Current Usage]]-Dashboard_Query[[#This Row],[Monthly Allowance]]))</f>
        <v>0</v>
      </c>
      <c r="V232" s="4" t="str">
        <f>IF(Dashboard_Query[[#This Row],[Monthly Allowance]]="","",IF(Dashboard_Query[[#This Row],[Overage]]&gt;0,"OVER",IF(Dashboard_Query[[#This Row],[% Used]]&gt;=0.8,"WARNING","OK")))</f>
        <v>OK</v>
      </c>
    </row>
    <row r="233" spans="1:22" hidden="1">
      <c r="A233" s="4" t="s">
        <v>94</v>
      </c>
      <c r="B233" s="4"/>
      <c r="C233" s="4"/>
      <c r="D233" s="4"/>
      <c r="E233" s="4"/>
      <c r="F233" s="4"/>
      <c r="G233" s="6"/>
      <c r="H233" s="6"/>
      <c r="I233" s="32"/>
      <c r="J233" s="1"/>
      <c r="K233" s="4">
        <v>500</v>
      </c>
      <c r="L233" s="4" t="s">
        <v>122</v>
      </c>
      <c r="M233" s="4" t="s">
        <v>35</v>
      </c>
      <c r="N233" s="6"/>
      <c r="O233" s="1"/>
      <c r="P233" s="4">
        <v>0.09</v>
      </c>
      <c r="Q233" s="4">
        <v>0.09</v>
      </c>
      <c r="R233" s="4">
        <f>IF(
    OR(Dashboard_Query[[#This Row],[Monthly Allowance]]="",Dashboard_Query[[#This Row],[Current Usage]]=""),
    "",
    MAX(0,Dashboard_Query[[#This Row],[Monthly Allowance]]-Dashboard_Query[[#This Row],[Current Usage]])
)</f>
        <v>499.91</v>
      </c>
      <c r="S233" s="9">
        <f>IF(OR(Dashboard_Query[[#This Row],[Monthly Allowance]]="",Dashboard_Query[[#This Row],[Current Usage]]=""),"",Dashboard_Query[[#This Row],[Current Usage]]/Dashboard_Query[[#This Row],[Monthly Allowance]])</f>
        <v>1.7999999999999998E-4</v>
      </c>
      <c r="T233" s="9">
        <f>IF(Dashboard_Query[[#This Row],[% Used]]="","",1-Dashboard_Query[[#This Row],[% Used]])</f>
        <v>0.99982000000000004</v>
      </c>
      <c r="U233" s="4">
        <f>IF(OR(Dashboard_Query[[#This Row],[Monthly Allowance]]="",Dashboard_Query[[#This Row],[Current Usage]]=""),"",MAX(0,Dashboard_Query[[#This Row],[Current Usage]]-Dashboard_Query[[#This Row],[Monthly Allowance]]))</f>
        <v>0</v>
      </c>
      <c r="V233" s="4" t="str">
        <f>IF(Dashboard_Query[[#This Row],[Monthly Allowance]]="","",IF(Dashboard_Query[[#This Row],[Overage]]&gt;0,"OVER",IF(Dashboard_Query[[#This Row],[% Used]]&gt;=0.8,"WARNING","OK")))</f>
        <v>OK</v>
      </c>
    </row>
    <row r="234" spans="1:22" hidden="1">
      <c r="A234" s="4" t="s">
        <v>96</v>
      </c>
      <c r="B234" s="4"/>
      <c r="C234" s="4"/>
      <c r="D234" s="4"/>
      <c r="E234" s="4"/>
      <c r="F234" s="4"/>
      <c r="G234" s="6"/>
      <c r="H234" s="6"/>
      <c r="I234" s="32"/>
      <c r="J234" s="1"/>
      <c r="K234" s="4">
        <v>500</v>
      </c>
      <c r="L234" s="4" t="s">
        <v>122</v>
      </c>
      <c r="M234" s="4" t="s">
        <v>35</v>
      </c>
      <c r="N234" s="6"/>
      <c r="O234" s="1"/>
      <c r="P234" s="4">
        <v>0.09</v>
      </c>
      <c r="Q234" s="4">
        <v>0.09</v>
      </c>
      <c r="R234" s="4">
        <f>IF(
    OR(Dashboard_Query[[#This Row],[Monthly Allowance]]="",Dashboard_Query[[#This Row],[Current Usage]]=""),
    "",
    MAX(0,Dashboard_Query[[#This Row],[Monthly Allowance]]-Dashboard_Query[[#This Row],[Current Usage]])
)</f>
        <v>499.91</v>
      </c>
      <c r="S234" s="9">
        <f>IF(OR(Dashboard_Query[[#This Row],[Monthly Allowance]]="",Dashboard_Query[[#This Row],[Current Usage]]=""),"",Dashboard_Query[[#This Row],[Current Usage]]/Dashboard_Query[[#This Row],[Monthly Allowance]])</f>
        <v>1.7999999999999998E-4</v>
      </c>
      <c r="T234" s="9">
        <f>IF(Dashboard_Query[[#This Row],[% Used]]="","",1-Dashboard_Query[[#This Row],[% Used]])</f>
        <v>0.99982000000000004</v>
      </c>
      <c r="U234" s="4">
        <f>IF(OR(Dashboard_Query[[#This Row],[Monthly Allowance]]="",Dashboard_Query[[#This Row],[Current Usage]]=""),"",MAX(0,Dashboard_Query[[#This Row],[Current Usage]]-Dashboard_Query[[#This Row],[Monthly Allowance]]))</f>
        <v>0</v>
      </c>
      <c r="V234" s="4" t="str">
        <f>IF(Dashboard_Query[[#This Row],[Monthly Allowance]]="","",IF(Dashboard_Query[[#This Row],[Overage]]&gt;0,"OVER",IF(Dashboard_Query[[#This Row],[% Used]]&gt;=0.8,"WARNING","OK")))</f>
        <v>OK</v>
      </c>
    </row>
    <row r="235" spans="1:22" hidden="1">
      <c r="A235" s="4" t="s">
        <v>104</v>
      </c>
      <c r="B235" s="4"/>
      <c r="C235" s="4"/>
      <c r="D235" s="4"/>
      <c r="E235" s="4"/>
      <c r="F235" s="4"/>
      <c r="G235" s="6"/>
      <c r="H235" s="6"/>
      <c r="I235" s="32"/>
      <c r="J235" s="1"/>
      <c r="K235" s="4">
        <v>500</v>
      </c>
      <c r="L235" s="4" t="s">
        <v>122</v>
      </c>
      <c r="M235" s="4" t="s">
        <v>35</v>
      </c>
      <c r="N235" s="6"/>
      <c r="O235" s="1"/>
      <c r="P235" s="4">
        <v>0.09</v>
      </c>
      <c r="Q235" s="4">
        <v>0.09</v>
      </c>
      <c r="R235" s="4">
        <f>IF(
    OR(Dashboard_Query[[#This Row],[Monthly Allowance]]="",Dashboard_Query[[#This Row],[Current Usage]]=""),
    "",
    MAX(0,Dashboard_Query[[#This Row],[Monthly Allowance]]-Dashboard_Query[[#This Row],[Current Usage]])
)</f>
        <v>499.91</v>
      </c>
      <c r="S235" s="9">
        <f>IF(OR(Dashboard_Query[[#This Row],[Monthly Allowance]]="",Dashboard_Query[[#This Row],[Current Usage]]=""),"",Dashboard_Query[[#This Row],[Current Usage]]/Dashboard_Query[[#This Row],[Monthly Allowance]])</f>
        <v>1.7999999999999998E-4</v>
      </c>
      <c r="T235" s="9">
        <f>IF(Dashboard_Query[[#This Row],[% Used]]="","",1-Dashboard_Query[[#This Row],[% Used]])</f>
        <v>0.99982000000000004</v>
      </c>
      <c r="U235" s="4">
        <f>IF(OR(Dashboard_Query[[#This Row],[Monthly Allowance]]="",Dashboard_Query[[#This Row],[Current Usage]]=""),"",MAX(0,Dashboard_Query[[#This Row],[Current Usage]]-Dashboard_Query[[#This Row],[Monthly Allowance]]))</f>
        <v>0</v>
      </c>
      <c r="V235" s="4" t="str">
        <f>IF(Dashboard_Query[[#This Row],[Monthly Allowance]]="","",IF(Dashboard_Query[[#This Row],[Overage]]&gt;0,"OVER",IF(Dashboard_Query[[#This Row],[% Used]]&gt;=0.8,"WARNING","OK")))</f>
        <v>OK</v>
      </c>
    </row>
    <row r="236" spans="1:22" hidden="1">
      <c r="A236" s="4" t="s">
        <v>111</v>
      </c>
      <c r="B236" s="4"/>
      <c r="C236" s="4"/>
      <c r="D236" s="4"/>
      <c r="E236" s="4"/>
      <c r="F236" s="4"/>
      <c r="G236" s="6"/>
      <c r="H236" s="6"/>
      <c r="I236" s="32"/>
      <c r="J236" s="1"/>
      <c r="K236" s="4">
        <v>500</v>
      </c>
      <c r="L236" s="4" t="s">
        <v>122</v>
      </c>
      <c r="M236" s="4" t="s">
        <v>35</v>
      </c>
      <c r="N236" s="6"/>
      <c r="O236" s="1"/>
      <c r="P236" s="4">
        <v>0.09</v>
      </c>
      <c r="Q236" s="4">
        <v>0.09</v>
      </c>
      <c r="R236" s="4">
        <f>IF(
    OR(Dashboard_Query[[#This Row],[Monthly Allowance]]="",Dashboard_Query[[#This Row],[Current Usage]]=""),
    "",
    MAX(0,Dashboard_Query[[#This Row],[Monthly Allowance]]-Dashboard_Query[[#This Row],[Current Usage]])
)</f>
        <v>499.91</v>
      </c>
      <c r="S236" s="9">
        <f>IF(OR(Dashboard_Query[[#This Row],[Monthly Allowance]]="",Dashboard_Query[[#This Row],[Current Usage]]=""),"",Dashboard_Query[[#This Row],[Current Usage]]/Dashboard_Query[[#This Row],[Monthly Allowance]])</f>
        <v>1.7999999999999998E-4</v>
      </c>
      <c r="T236" s="9">
        <f>IF(Dashboard_Query[[#This Row],[% Used]]="","",1-Dashboard_Query[[#This Row],[% Used]])</f>
        <v>0.99982000000000004</v>
      </c>
      <c r="U236" s="4">
        <f>IF(OR(Dashboard_Query[[#This Row],[Monthly Allowance]]="",Dashboard_Query[[#This Row],[Current Usage]]=""),"",MAX(0,Dashboard_Query[[#This Row],[Current Usage]]-Dashboard_Query[[#This Row],[Monthly Allowance]]))</f>
        <v>0</v>
      </c>
      <c r="V236" s="4" t="str">
        <f>IF(Dashboard_Query[[#This Row],[Monthly Allowance]]="","",IF(Dashboard_Query[[#This Row],[Overage]]&gt;0,"OVER",IF(Dashboard_Query[[#This Row],[% Used]]&gt;=0.8,"WARNING","OK")))</f>
        <v>OK</v>
      </c>
    </row>
    <row r="237" spans="1:22" hidden="1">
      <c r="A237" s="4" t="s">
        <v>38</v>
      </c>
      <c r="B237" s="4"/>
      <c r="C237" s="4"/>
      <c r="D237" s="4"/>
      <c r="E237" s="4"/>
      <c r="F237" s="4"/>
      <c r="G237" s="6"/>
      <c r="H237" s="6"/>
      <c r="I237" s="32"/>
      <c r="J237" s="1"/>
      <c r="K237" s="4">
        <v>500</v>
      </c>
      <c r="L237" s="4" t="s">
        <v>122</v>
      </c>
      <c r="M237" s="4" t="s">
        <v>35</v>
      </c>
      <c r="N237" s="6"/>
      <c r="O237" s="1"/>
      <c r="P237" s="4">
        <v>0.08</v>
      </c>
      <c r="Q237" s="4">
        <v>0.08</v>
      </c>
      <c r="R237" s="4">
        <f>IF(
    OR(Dashboard_Query[[#This Row],[Monthly Allowance]]="",Dashboard_Query[[#This Row],[Current Usage]]=""),
    "",
    MAX(0,Dashboard_Query[[#This Row],[Monthly Allowance]]-Dashboard_Query[[#This Row],[Current Usage]])
)</f>
        <v>499.92</v>
      </c>
      <c r="S237" s="9">
        <f>IF(OR(Dashboard_Query[[#This Row],[Monthly Allowance]]="",Dashboard_Query[[#This Row],[Current Usage]]=""),"",Dashboard_Query[[#This Row],[Current Usage]]/Dashboard_Query[[#This Row],[Monthly Allowance]])</f>
        <v>1.6000000000000001E-4</v>
      </c>
      <c r="T237" s="9">
        <f>IF(Dashboard_Query[[#This Row],[% Used]]="","",1-Dashboard_Query[[#This Row],[% Used]])</f>
        <v>0.99983999999999995</v>
      </c>
      <c r="U237" s="4">
        <f>IF(OR(Dashboard_Query[[#This Row],[Monthly Allowance]]="",Dashboard_Query[[#This Row],[Current Usage]]=""),"",MAX(0,Dashboard_Query[[#This Row],[Current Usage]]-Dashboard_Query[[#This Row],[Monthly Allowance]]))</f>
        <v>0</v>
      </c>
      <c r="V237" s="4" t="str">
        <f>IF(Dashboard_Query[[#This Row],[Monthly Allowance]]="","",IF(Dashboard_Query[[#This Row],[Overage]]&gt;0,"OVER",IF(Dashboard_Query[[#This Row],[% Used]]&gt;=0.8,"WARNING","OK")))</f>
        <v>OK</v>
      </c>
    </row>
    <row r="238" spans="1:22" hidden="1">
      <c r="A238" s="4" t="s">
        <v>51</v>
      </c>
      <c r="B238" s="4"/>
      <c r="C238" s="4"/>
      <c r="D238" s="4"/>
      <c r="E238" s="4"/>
      <c r="F238" s="4"/>
      <c r="G238" s="6"/>
      <c r="H238" s="6"/>
      <c r="I238" s="32"/>
      <c r="J238" s="1"/>
      <c r="K238" s="4">
        <v>500</v>
      </c>
      <c r="L238" s="4" t="s">
        <v>122</v>
      </c>
      <c r="M238" s="4" t="s">
        <v>35</v>
      </c>
      <c r="N238" s="6"/>
      <c r="O238" s="1"/>
      <c r="P238" s="4">
        <v>0.08</v>
      </c>
      <c r="Q238" s="4">
        <v>0.08</v>
      </c>
      <c r="R238" s="4">
        <f>IF(
    OR(Dashboard_Query[[#This Row],[Monthly Allowance]]="",Dashboard_Query[[#This Row],[Current Usage]]=""),
    "",
    MAX(0,Dashboard_Query[[#This Row],[Monthly Allowance]]-Dashboard_Query[[#This Row],[Current Usage]])
)</f>
        <v>499.92</v>
      </c>
      <c r="S238" s="9">
        <f>IF(OR(Dashboard_Query[[#This Row],[Monthly Allowance]]="",Dashboard_Query[[#This Row],[Current Usage]]=""),"",Dashboard_Query[[#This Row],[Current Usage]]/Dashboard_Query[[#This Row],[Monthly Allowance]])</f>
        <v>1.6000000000000001E-4</v>
      </c>
      <c r="T238" s="9">
        <f>IF(Dashboard_Query[[#This Row],[% Used]]="","",1-Dashboard_Query[[#This Row],[% Used]])</f>
        <v>0.99983999999999995</v>
      </c>
      <c r="U238" s="4">
        <f>IF(OR(Dashboard_Query[[#This Row],[Monthly Allowance]]="",Dashboard_Query[[#This Row],[Current Usage]]=""),"",MAX(0,Dashboard_Query[[#This Row],[Current Usage]]-Dashboard_Query[[#This Row],[Monthly Allowance]]))</f>
        <v>0</v>
      </c>
      <c r="V238" s="4" t="str">
        <f>IF(Dashboard_Query[[#This Row],[Monthly Allowance]]="","",IF(Dashboard_Query[[#This Row],[Overage]]&gt;0,"OVER",IF(Dashboard_Query[[#This Row],[% Used]]&gt;=0.8,"WARNING","OK")))</f>
        <v>OK</v>
      </c>
    </row>
    <row r="239" spans="1:22" hidden="1">
      <c r="A239" s="4" t="s">
        <v>57</v>
      </c>
      <c r="B239" s="4"/>
      <c r="C239" s="4"/>
      <c r="D239" s="4"/>
      <c r="E239" s="4"/>
      <c r="F239" s="4"/>
      <c r="G239" s="6"/>
      <c r="H239" s="6"/>
      <c r="I239" s="32"/>
      <c r="J239" s="1"/>
      <c r="K239" s="4">
        <v>500</v>
      </c>
      <c r="L239" s="4" t="s">
        <v>122</v>
      </c>
      <c r="M239" s="4" t="s">
        <v>35</v>
      </c>
      <c r="N239" s="6"/>
      <c r="O239" s="1"/>
      <c r="P239" s="4">
        <v>0.08</v>
      </c>
      <c r="Q239" s="4">
        <v>0.08</v>
      </c>
      <c r="R239" s="4">
        <f>IF(
    OR(Dashboard_Query[[#This Row],[Monthly Allowance]]="",Dashboard_Query[[#This Row],[Current Usage]]=""),
    "",
    MAX(0,Dashboard_Query[[#This Row],[Monthly Allowance]]-Dashboard_Query[[#This Row],[Current Usage]])
)</f>
        <v>499.92</v>
      </c>
      <c r="S239" s="9">
        <f>IF(OR(Dashboard_Query[[#This Row],[Monthly Allowance]]="",Dashboard_Query[[#This Row],[Current Usage]]=""),"",Dashboard_Query[[#This Row],[Current Usage]]/Dashboard_Query[[#This Row],[Monthly Allowance]])</f>
        <v>1.6000000000000001E-4</v>
      </c>
      <c r="T239" s="9">
        <f>IF(Dashboard_Query[[#This Row],[% Used]]="","",1-Dashboard_Query[[#This Row],[% Used]])</f>
        <v>0.99983999999999995</v>
      </c>
      <c r="U239" s="4">
        <f>IF(OR(Dashboard_Query[[#This Row],[Monthly Allowance]]="",Dashboard_Query[[#This Row],[Current Usage]]=""),"",MAX(0,Dashboard_Query[[#This Row],[Current Usage]]-Dashboard_Query[[#This Row],[Monthly Allowance]]))</f>
        <v>0</v>
      </c>
      <c r="V239" s="4" t="str">
        <f>IF(Dashboard_Query[[#This Row],[Monthly Allowance]]="","",IF(Dashboard_Query[[#This Row],[Overage]]&gt;0,"OVER",IF(Dashboard_Query[[#This Row],[% Used]]&gt;=0.8,"WARNING","OK")))</f>
        <v>OK</v>
      </c>
    </row>
    <row r="240" spans="1:22" hidden="1">
      <c r="A240" s="4" t="s">
        <v>73</v>
      </c>
      <c r="B240" s="4"/>
      <c r="C240" s="4"/>
      <c r="D240" s="4"/>
      <c r="E240" s="4"/>
      <c r="F240" s="4"/>
      <c r="G240" s="6"/>
      <c r="H240" s="6"/>
      <c r="I240" s="32"/>
      <c r="J240" s="1"/>
      <c r="K240" s="4">
        <v>500</v>
      </c>
      <c r="L240" s="4" t="s">
        <v>122</v>
      </c>
      <c r="M240" s="4" t="s">
        <v>35</v>
      </c>
      <c r="N240" s="6"/>
      <c r="O240" s="1"/>
      <c r="P240" s="4">
        <v>0.08</v>
      </c>
      <c r="Q240" s="4">
        <v>0.08</v>
      </c>
      <c r="R240" s="4">
        <f>IF(
    OR(Dashboard_Query[[#This Row],[Monthly Allowance]]="",Dashboard_Query[[#This Row],[Current Usage]]=""),
    "",
    MAX(0,Dashboard_Query[[#This Row],[Monthly Allowance]]-Dashboard_Query[[#This Row],[Current Usage]])
)</f>
        <v>499.92</v>
      </c>
      <c r="S240" s="9">
        <f>IF(OR(Dashboard_Query[[#This Row],[Monthly Allowance]]="",Dashboard_Query[[#This Row],[Current Usage]]=""),"",Dashboard_Query[[#This Row],[Current Usage]]/Dashboard_Query[[#This Row],[Monthly Allowance]])</f>
        <v>1.6000000000000001E-4</v>
      </c>
      <c r="T240" s="9">
        <f>IF(Dashboard_Query[[#This Row],[% Used]]="","",1-Dashboard_Query[[#This Row],[% Used]])</f>
        <v>0.99983999999999995</v>
      </c>
      <c r="U240" s="4">
        <f>IF(OR(Dashboard_Query[[#This Row],[Monthly Allowance]]="",Dashboard_Query[[#This Row],[Current Usage]]=""),"",MAX(0,Dashboard_Query[[#This Row],[Current Usage]]-Dashboard_Query[[#This Row],[Monthly Allowance]]))</f>
        <v>0</v>
      </c>
      <c r="V240" s="4" t="str">
        <f>IF(Dashboard_Query[[#This Row],[Monthly Allowance]]="","",IF(Dashboard_Query[[#This Row],[Overage]]&gt;0,"OVER",IF(Dashboard_Query[[#This Row],[% Used]]&gt;=0.8,"WARNING","OK")))</f>
        <v>OK</v>
      </c>
    </row>
    <row r="241" spans="1:22" hidden="1">
      <c r="A241" s="4" t="s">
        <v>79</v>
      </c>
      <c r="B241" s="4"/>
      <c r="C241" s="4"/>
      <c r="D241" s="4"/>
      <c r="E241" s="4"/>
      <c r="F241" s="4"/>
      <c r="G241" s="6"/>
      <c r="H241" s="6"/>
      <c r="I241" s="32"/>
      <c r="J241" s="1"/>
      <c r="K241" s="4">
        <v>500</v>
      </c>
      <c r="L241" s="4" t="s">
        <v>122</v>
      </c>
      <c r="M241" s="4" t="s">
        <v>35</v>
      </c>
      <c r="N241" s="6"/>
      <c r="O241" s="1"/>
      <c r="P241" s="4">
        <v>0.08</v>
      </c>
      <c r="Q241" s="4">
        <v>0.08</v>
      </c>
      <c r="R241" s="4">
        <f>IF(
    OR(Dashboard_Query[[#This Row],[Monthly Allowance]]="",Dashboard_Query[[#This Row],[Current Usage]]=""),
    "",
    MAX(0,Dashboard_Query[[#This Row],[Monthly Allowance]]-Dashboard_Query[[#This Row],[Current Usage]])
)</f>
        <v>499.92</v>
      </c>
      <c r="S241" s="9">
        <f>IF(OR(Dashboard_Query[[#This Row],[Monthly Allowance]]="",Dashboard_Query[[#This Row],[Current Usage]]=""),"",Dashboard_Query[[#This Row],[Current Usage]]/Dashboard_Query[[#This Row],[Monthly Allowance]])</f>
        <v>1.6000000000000001E-4</v>
      </c>
      <c r="T241" s="9">
        <f>IF(Dashboard_Query[[#This Row],[% Used]]="","",1-Dashboard_Query[[#This Row],[% Used]])</f>
        <v>0.99983999999999995</v>
      </c>
      <c r="U241" s="4">
        <f>IF(OR(Dashboard_Query[[#This Row],[Monthly Allowance]]="",Dashboard_Query[[#This Row],[Current Usage]]=""),"",MAX(0,Dashboard_Query[[#This Row],[Current Usage]]-Dashboard_Query[[#This Row],[Monthly Allowance]]))</f>
        <v>0</v>
      </c>
      <c r="V241" s="4" t="str">
        <f>IF(Dashboard_Query[[#This Row],[Monthly Allowance]]="","",IF(Dashboard_Query[[#This Row],[Overage]]&gt;0,"OVER",IF(Dashboard_Query[[#This Row],[% Used]]&gt;=0.8,"WARNING","OK")))</f>
        <v>OK</v>
      </c>
    </row>
    <row r="242" spans="1:22">
      <c r="A242" s="4" t="s">
        <v>55</v>
      </c>
      <c r="B242" s="4">
        <v>816187</v>
      </c>
      <c r="C242" s="4" t="s">
        <v>392</v>
      </c>
      <c r="D242" s="4" t="s">
        <v>393</v>
      </c>
      <c r="E242" s="4" t="s">
        <v>394</v>
      </c>
      <c r="F242" s="4">
        <v>211122081</v>
      </c>
      <c r="G242" s="6">
        <v>46248</v>
      </c>
      <c r="H242" s="6">
        <v>46248</v>
      </c>
      <c r="I242" s="32">
        <v>46279</v>
      </c>
      <c r="J242" s="1">
        <v>21</v>
      </c>
      <c r="K242" s="4">
        <v>500</v>
      </c>
      <c r="L242" s="4" t="s">
        <v>122</v>
      </c>
      <c r="M242" s="4" t="s">
        <v>123</v>
      </c>
      <c r="N242" s="6">
        <v>46248</v>
      </c>
      <c r="O242" s="1"/>
      <c r="P242" s="4">
        <v>0.08</v>
      </c>
      <c r="Q242" s="4">
        <v>0.08</v>
      </c>
      <c r="R242" s="4">
        <f>IF(
    OR(Dashboard_Query[[#This Row],[Monthly Allowance]]="",Dashboard_Query[[#This Row],[Current Usage]]=""),
    "",
    MAX(0,Dashboard_Query[[#This Row],[Monthly Allowance]]-Dashboard_Query[[#This Row],[Current Usage]])
)</f>
        <v>499.92</v>
      </c>
      <c r="S242" s="9">
        <f>IF(OR(Dashboard_Query[[#This Row],[Monthly Allowance]]="",Dashboard_Query[[#This Row],[Current Usage]]=""),"",Dashboard_Query[[#This Row],[Current Usage]]/Dashboard_Query[[#This Row],[Monthly Allowance]])</f>
        <v>1.6000000000000001E-4</v>
      </c>
      <c r="T242" s="9">
        <f>IF(Dashboard_Query[[#This Row],[% Used]]="","",1-Dashboard_Query[[#This Row],[% Used]])</f>
        <v>0.99983999999999995</v>
      </c>
      <c r="U242" s="4">
        <f>IF(OR(Dashboard_Query[[#This Row],[Monthly Allowance]]="",Dashboard_Query[[#This Row],[Current Usage]]=""),"",MAX(0,Dashboard_Query[[#This Row],[Current Usage]]-Dashboard_Query[[#This Row],[Monthly Allowance]]))</f>
        <v>0</v>
      </c>
      <c r="V242" s="4" t="str">
        <f>IF(Dashboard_Query[[#This Row],[Monthly Allowance]]="","",IF(Dashboard_Query[[#This Row],[Overage]]&gt;0,"OVER",IF(Dashboard_Query[[#This Row],[% Used]]&gt;=0.8,"WARNING","OK")))</f>
        <v>OK</v>
      </c>
    </row>
    <row r="243" spans="1:22" hidden="1">
      <c r="A243" s="4" t="s">
        <v>114</v>
      </c>
      <c r="B243" s="4"/>
      <c r="C243" s="4"/>
      <c r="D243" s="4"/>
      <c r="E243" s="4"/>
      <c r="F243" s="4"/>
      <c r="G243" s="6"/>
      <c r="H243" s="6"/>
      <c r="I243" s="32"/>
      <c r="J243" s="1"/>
      <c r="K243" s="4">
        <v>500</v>
      </c>
      <c r="L243" s="4" t="s">
        <v>122</v>
      </c>
      <c r="M243" s="4" t="s">
        <v>35</v>
      </c>
      <c r="N243" s="6"/>
      <c r="O243" s="1"/>
      <c r="P243" s="4">
        <v>0.08</v>
      </c>
      <c r="Q243" s="4">
        <v>0.08</v>
      </c>
      <c r="R243" s="4">
        <f>IF(
    OR(Dashboard_Query[[#This Row],[Monthly Allowance]]="",Dashboard_Query[[#This Row],[Current Usage]]=""),
    "",
    MAX(0,Dashboard_Query[[#This Row],[Monthly Allowance]]-Dashboard_Query[[#This Row],[Current Usage]])
)</f>
        <v>499.92</v>
      </c>
      <c r="S243" s="9">
        <f>IF(OR(Dashboard_Query[[#This Row],[Monthly Allowance]]="",Dashboard_Query[[#This Row],[Current Usage]]=""),"",Dashboard_Query[[#This Row],[Current Usage]]/Dashboard_Query[[#This Row],[Monthly Allowance]])</f>
        <v>1.6000000000000001E-4</v>
      </c>
      <c r="T243" s="9">
        <f>IF(Dashboard_Query[[#This Row],[% Used]]="","",1-Dashboard_Query[[#This Row],[% Used]])</f>
        <v>0.99983999999999995</v>
      </c>
      <c r="U243" s="4">
        <f>IF(OR(Dashboard_Query[[#This Row],[Monthly Allowance]]="",Dashboard_Query[[#This Row],[Current Usage]]=""),"",MAX(0,Dashboard_Query[[#This Row],[Current Usage]]-Dashboard_Query[[#This Row],[Monthly Allowance]]))</f>
        <v>0</v>
      </c>
      <c r="V243" s="4" t="str">
        <f>IF(Dashboard_Query[[#This Row],[Monthly Allowance]]="","",IF(Dashboard_Query[[#This Row],[Overage]]&gt;0,"OVER",IF(Dashboard_Query[[#This Row],[% Used]]&gt;=0.8,"WARNING","OK")))</f>
        <v>OK</v>
      </c>
    </row>
    <row r="244" spans="1:22" hidden="1">
      <c r="A244" s="4" t="s">
        <v>37</v>
      </c>
      <c r="B244" s="4"/>
      <c r="C244" s="4"/>
      <c r="D244" s="4"/>
      <c r="E244" s="4"/>
      <c r="F244" s="4"/>
      <c r="G244" s="6"/>
      <c r="H244" s="6"/>
      <c r="I244" s="32"/>
      <c r="J244" s="1"/>
      <c r="K244" s="4">
        <v>500</v>
      </c>
      <c r="L244" s="4" t="s">
        <v>122</v>
      </c>
      <c r="M244" s="4" t="s">
        <v>35</v>
      </c>
      <c r="N244" s="6"/>
      <c r="O244" s="1"/>
      <c r="P244" s="4">
        <v>0.06</v>
      </c>
      <c r="Q244" s="4">
        <v>0.06</v>
      </c>
      <c r="R244" s="4">
        <f>IF(
    OR(Dashboard_Query[[#This Row],[Monthly Allowance]]="",Dashboard_Query[[#This Row],[Current Usage]]=""),
    "",
    MAX(0,Dashboard_Query[[#This Row],[Monthly Allowance]]-Dashboard_Query[[#This Row],[Current Usage]])
)</f>
        <v>499.94</v>
      </c>
      <c r="S244" s="9">
        <f>IF(OR(Dashboard_Query[[#This Row],[Monthly Allowance]]="",Dashboard_Query[[#This Row],[Current Usage]]=""),"",Dashboard_Query[[#This Row],[Current Usage]]/Dashboard_Query[[#This Row],[Monthly Allowance]])</f>
        <v>1.1999999999999999E-4</v>
      </c>
      <c r="T244" s="9">
        <f>IF(Dashboard_Query[[#This Row],[% Used]]="","",1-Dashboard_Query[[#This Row],[% Used]])</f>
        <v>0.99987999999999999</v>
      </c>
      <c r="U244" s="4">
        <f>IF(OR(Dashboard_Query[[#This Row],[Monthly Allowance]]="",Dashboard_Query[[#This Row],[Current Usage]]=""),"",MAX(0,Dashboard_Query[[#This Row],[Current Usage]]-Dashboard_Query[[#This Row],[Monthly Allowance]]))</f>
        <v>0</v>
      </c>
      <c r="V244" s="4" t="str">
        <f>IF(Dashboard_Query[[#This Row],[Monthly Allowance]]="","",IF(Dashboard_Query[[#This Row],[Overage]]&gt;0,"OVER",IF(Dashboard_Query[[#This Row],[% Used]]&gt;=0.8,"WARNING","OK")))</f>
        <v>OK</v>
      </c>
    </row>
    <row r="245" spans="1:22" hidden="1">
      <c r="A245" s="4" t="s">
        <v>36</v>
      </c>
      <c r="B245" s="4"/>
      <c r="C245" s="4"/>
      <c r="D245" s="4"/>
      <c r="E245" s="4"/>
      <c r="F245" s="4"/>
      <c r="G245" s="6"/>
      <c r="H245" s="6"/>
      <c r="I245" s="32"/>
      <c r="J245" s="1"/>
      <c r="K245" s="4">
        <v>500</v>
      </c>
      <c r="L245" s="4" t="s">
        <v>122</v>
      </c>
      <c r="M245" s="4" t="s">
        <v>35</v>
      </c>
      <c r="N245" s="6"/>
      <c r="O245" s="1"/>
      <c r="P245" s="4">
        <v>0.05</v>
      </c>
      <c r="Q245" s="4">
        <v>0.05</v>
      </c>
      <c r="R245" s="4">
        <f>IF(
    OR(Dashboard_Query[[#This Row],[Monthly Allowance]]="",Dashboard_Query[[#This Row],[Current Usage]]=""),
    "",
    MAX(0,Dashboard_Query[[#This Row],[Monthly Allowance]]-Dashboard_Query[[#This Row],[Current Usage]])
)</f>
        <v>499.95</v>
      </c>
      <c r="S245" s="9">
        <f>IF(OR(Dashboard_Query[[#This Row],[Monthly Allowance]]="",Dashboard_Query[[#This Row],[Current Usage]]=""),"",Dashboard_Query[[#This Row],[Current Usage]]/Dashboard_Query[[#This Row],[Monthly Allowance]])</f>
        <v>1E-4</v>
      </c>
      <c r="T245" s="9">
        <f>IF(Dashboard_Query[[#This Row],[% Used]]="","",1-Dashboard_Query[[#This Row],[% Used]])</f>
        <v>0.99990000000000001</v>
      </c>
      <c r="U245" s="4">
        <f>IF(OR(Dashboard_Query[[#This Row],[Monthly Allowance]]="",Dashboard_Query[[#This Row],[Current Usage]]=""),"",MAX(0,Dashboard_Query[[#This Row],[Current Usage]]-Dashboard_Query[[#This Row],[Monthly Allowance]]))</f>
        <v>0</v>
      </c>
      <c r="V245" s="4" t="str">
        <f>IF(Dashboard_Query[[#This Row],[Monthly Allowance]]="","",IF(Dashboard_Query[[#This Row],[Overage]]&gt;0,"OVER",IF(Dashboard_Query[[#This Row],[% Used]]&gt;=0.8,"WARNING","OK")))</f>
        <v>OK</v>
      </c>
    </row>
    <row r="246" spans="1:22" hidden="1">
      <c r="A246" s="4" t="s">
        <v>46</v>
      </c>
      <c r="B246" s="4"/>
      <c r="C246" s="4"/>
      <c r="D246" s="4"/>
      <c r="E246" s="4"/>
      <c r="F246" s="4"/>
      <c r="G246" s="6"/>
      <c r="H246" s="6"/>
      <c r="I246" s="32"/>
      <c r="J246" s="1"/>
      <c r="K246" s="4">
        <v>500</v>
      </c>
      <c r="L246" s="4" t="s">
        <v>122</v>
      </c>
      <c r="M246" s="4" t="s">
        <v>35</v>
      </c>
      <c r="N246" s="6"/>
      <c r="O246" s="1"/>
      <c r="P246" s="4">
        <v>0.05</v>
      </c>
      <c r="Q246" s="4">
        <v>0.05</v>
      </c>
      <c r="R246" s="4">
        <f>IF(
    OR(Dashboard_Query[[#This Row],[Monthly Allowance]]="",Dashboard_Query[[#This Row],[Current Usage]]=""),
    "",
    MAX(0,Dashboard_Query[[#This Row],[Monthly Allowance]]-Dashboard_Query[[#This Row],[Current Usage]])
)</f>
        <v>499.95</v>
      </c>
      <c r="S246" s="9">
        <f>IF(OR(Dashboard_Query[[#This Row],[Monthly Allowance]]="",Dashboard_Query[[#This Row],[Current Usage]]=""),"",Dashboard_Query[[#This Row],[Current Usage]]/Dashboard_Query[[#This Row],[Monthly Allowance]])</f>
        <v>1E-4</v>
      </c>
      <c r="T246" s="9">
        <f>IF(Dashboard_Query[[#This Row],[% Used]]="","",1-Dashboard_Query[[#This Row],[% Used]])</f>
        <v>0.99990000000000001</v>
      </c>
      <c r="U246" s="4">
        <f>IF(OR(Dashboard_Query[[#This Row],[Monthly Allowance]]="",Dashboard_Query[[#This Row],[Current Usage]]=""),"",MAX(0,Dashboard_Query[[#This Row],[Current Usage]]-Dashboard_Query[[#This Row],[Monthly Allowance]]))</f>
        <v>0</v>
      </c>
      <c r="V246" s="4" t="str">
        <f>IF(Dashboard_Query[[#This Row],[Monthly Allowance]]="","",IF(Dashboard_Query[[#This Row],[Overage]]&gt;0,"OVER",IF(Dashboard_Query[[#This Row],[% Used]]&gt;=0.8,"WARNING","OK")))</f>
        <v>OK</v>
      </c>
    </row>
    <row r="247" spans="1:22" hidden="1">
      <c r="A247" s="4" t="s">
        <v>53</v>
      </c>
      <c r="B247" s="4"/>
      <c r="C247" s="4"/>
      <c r="D247" s="4"/>
      <c r="E247" s="4"/>
      <c r="F247" s="4"/>
      <c r="G247" s="6"/>
      <c r="H247" s="6"/>
      <c r="I247" s="32"/>
      <c r="J247" s="1"/>
      <c r="K247" s="4">
        <v>500</v>
      </c>
      <c r="L247" s="4" t="s">
        <v>122</v>
      </c>
      <c r="M247" s="4" t="s">
        <v>35</v>
      </c>
      <c r="N247" s="6"/>
      <c r="O247" s="1"/>
      <c r="P247" s="4">
        <v>0.05</v>
      </c>
      <c r="Q247" s="4">
        <v>0.05</v>
      </c>
      <c r="R247" s="4">
        <f>IF(
    OR(Dashboard_Query[[#This Row],[Monthly Allowance]]="",Dashboard_Query[[#This Row],[Current Usage]]=""),
    "",
    MAX(0,Dashboard_Query[[#This Row],[Monthly Allowance]]-Dashboard_Query[[#This Row],[Current Usage]])
)</f>
        <v>499.95</v>
      </c>
      <c r="S247" s="9">
        <f>IF(OR(Dashboard_Query[[#This Row],[Monthly Allowance]]="",Dashboard_Query[[#This Row],[Current Usage]]=""),"",Dashboard_Query[[#This Row],[Current Usage]]/Dashboard_Query[[#This Row],[Monthly Allowance]])</f>
        <v>1E-4</v>
      </c>
      <c r="T247" s="9">
        <f>IF(Dashboard_Query[[#This Row],[% Used]]="","",1-Dashboard_Query[[#This Row],[% Used]])</f>
        <v>0.99990000000000001</v>
      </c>
      <c r="U247" s="4">
        <f>IF(OR(Dashboard_Query[[#This Row],[Monthly Allowance]]="",Dashboard_Query[[#This Row],[Current Usage]]=""),"",MAX(0,Dashboard_Query[[#This Row],[Current Usage]]-Dashboard_Query[[#This Row],[Monthly Allowance]]))</f>
        <v>0</v>
      </c>
      <c r="V247" s="4" t="str">
        <f>IF(Dashboard_Query[[#This Row],[Monthly Allowance]]="","",IF(Dashboard_Query[[#This Row],[Overage]]&gt;0,"OVER",IF(Dashboard_Query[[#This Row],[% Used]]&gt;=0.8,"WARNING","OK")))</f>
        <v>OK</v>
      </c>
    </row>
    <row r="248" spans="1:22" hidden="1">
      <c r="A248" s="4" t="s">
        <v>54</v>
      </c>
      <c r="B248" s="4"/>
      <c r="C248" s="4"/>
      <c r="D248" s="4"/>
      <c r="E248" s="4"/>
      <c r="F248" s="4"/>
      <c r="G248" s="6"/>
      <c r="H248" s="6"/>
      <c r="I248" s="32"/>
      <c r="J248" s="1"/>
      <c r="K248" s="4">
        <v>500</v>
      </c>
      <c r="L248" s="4" t="s">
        <v>122</v>
      </c>
      <c r="M248" s="4" t="s">
        <v>35</v>
      </c>
      <c r="N248" s="6"/>
      <c r="O248" s="1"/>
      <c r="P248" s="4">
        <v>0.05</v>
      </c>
      <c r="Q248" s="4">
        <v>0.05</v>
      </c>
      <c r="R248" s="4">
        <f>IF(
    OR(Dashboard_Query[[#This Row],[Monthly Allowance]]="",Dashboard_Query[[#This Row],[Current Usage]]=""),
    "",
    MAX(0,Dashboard_Query[[#This Row],[Monthly Allowance]]-Dashboard_Query[[#This Row],[Current Usage]])
)</f>
        <v>499.95</v>
      </c>
      <c r="S248" s="9">
        <f>IF(OR(Dashboard_Query[[#This Row],[Monthly Allowance]]="",Dashboard_Query[[#This Row],[Current Usage]]=""),"",Dashboard_Query[[#This Row],[Current Usage]]/Dashboard_Query[[#This Row],[Monthly Allowance]])</f>
        <v>1E-4</v>
      </c>
      <c r="T248" s="9">
        <f>IF(Dashboard_Query[[#This Row],[% Used]]="","",1-Dashboard_Query[[#This Row],[% Used]])</f>
        <v>0.99990000000000001</v>
      </c>
      <c r="U248" s="4">
        <f>IF(OR(Dashboard_Query[[#This Row],[Monthly Allowance]]="",Dashboard_Query[[#This Row],[Current Usage]]=""),"",MAX(0,Dashboard_Query[[#This Row],[Current Usage]]-Dashboard_Query[[#This Row],[Monthly Allowance]]))</f>
        <v>0</v>
      </c>
      <c r="V248" s="4" t="str">
        <f>IF(Dashboard_Query[[#This Row],[Monthly Allowance]]="","",IF(Dashboard_Query[[#This Row],[Overage]]&gt;0,"OVER",IF(Dashboard_Query[[#This Row],[% Used]]&gt;=0.8,"WARNING","OK")))</f>
        <v>OK</v>
      </c>
    </row>
    <row r="249" spans="1:22" hidden="1">
      <c r="A249" s="4" t="s">
        <v>56</v>
      </c>
      <c r="B249" s="4"/>
      <c r="C249" s="4"/>
      <c r="D249" s="4"/>
      <c r="E249" s="4"/>
      <c r="F249" s="4"/>
      <c r="G249" s="6"/>
      <c r="H249" s="6"/>
      <c r="I249" s="32"/>
      <c r="J249" s="1"/>
      <c r="K249" s="4">
        <v>500</v>
      </c>
      <c r="L249" s="4" t="s">
        <v>122</v>
      </c>
      <c r="M249" s="4" t="s">
        <v>35</v>
      </c>
      <c r="N249" s="6"/>
      <c r="O249" s="1"/>
      <c r="P249" s="4">
        <v>0.05</v>
      </c>
      <c r="Q249" s="4">
        <v>0.05</v>
      </c>
      <c r="R249" s="4">
        <f>IF(
    OR(Dashboard_Query[[#This Row],[Monthly Allowance]]="",Dashboard_Query[[#This Row],[Current Usage]]=""),
    "",
    MAX(0,Dashboard_Query[[#This Row],[Monthly Allowance]]-Dashboard_Query[[#This Row],[Current Usage]])
)</f>
        <v>499.95</v>
      </c>
      <c r="S249" s="9">
        <f>IF(OR(Dashboard_Query[[#This Row],[Monthly Allowance]]="",Dashboard_Query[[#This Row],[Current Usage]]=""),"",Dashboard_Query[[#This Row],[Current Usage]]/Dashboard_Query[[#This Row],[Monthly Allowance]])</f>
        <v>1E-4</v>
      </c>
      <c r="T249" s="9">
        <f>IF(Dashboard_Query[[#This Row],[% Used]]="","",1-Dashboard_Query[[#This Row],[% Used]])</f>
        <v>0.99990000000000001</v>
      </c>
      <c r="U249" s="4">
        <f>IF(OR(Dashboard_Query[[#This Row],[Monthly Allowance]]="",Dashboard_Query[[#This Row],[Current Usage]]=""),"",MAX(0,Dashboard_Query[[#This Row],[Current Usage]]-Dashboard_Query[[#This Row],[Monthly Allowance]]))</f>
        <v>0</v>
      </c>
      <c r="V249" s="4" t="str">
        <f>IF(Dashboard_Query[[#This Row],[Monthly Allowance]]="","",IF(Dashboard_Query[[#This Row],[Overage]]&gt;0,"OVER",IF(Dashboard_Query[[#This Row],[% Used]]&gt;=0.8,"WARNING","OK")))</f>
        <v>OK</v>
      </c>
    </row>
    <row r="250" spans="1:22" hidden="1">
      <c r="A250" s="4" t="s">
        <v>58</v>
      </c>
      <c r="B250" s="4"/>
      <c r="C250" s="4"/>
      <c r="D250" s="4"/>
      <c r="E250" s="4"/>
      <c r="F250" s="4"/>
      <c r="G250" s="6"/>
      <c r="H250" s="6"/>
      <c r="I250" s="32"/>
      <c r="J250" s="1"/>
      <c r="K250" s="4">
        <v>500</v>
      </c>
      <c r="L250" s="4" t="s">
        <v>122</v>
      </c>
      <c r="M250" s="4" t="s">
        <v>35</v>
      </c>
      <c r="N250" s="6"/>
      <c r="O250" s="1"/>
      <c r="P250" s="4">
        <v>0.05</v>
      </c>
      <c r="Q250" s="4">
        <v>0.05</v>
      </c>
      <c r="R250" s="4">
        <f>IF(
    OR(Dashboard_Query[[#This Row],[Monthly Allowance]]="",Dashboard_Query[[#This Row],[Current Usage]]=""),
    "",
    MAX(0,Dashboard_Query[[#This Row],[Monthly Allowance]]-Dashboard_Query[[#This Row],[Current Usage]])
)</f>
        <v>499.95</v>
      </c>
      <c r="S250" s="9">
        <f>IF(OR(Dashboard_Query[[#This Row],[Monthly Allowance]]="",Dashboard_Query[[#This Row],[Current Usage]]=""),"",Dashboard_Query[[#This Row],[Current Usage]]/Dashboard_Query[[#This Row],[Monthly Allowance]])</f>
        <v>1E-4</v>
      </c>
      <c r="T250" s="9">
        <f>IF(Dashboard_Query[[#This Row],[% Used]]="","",1-Dashboard_Query[[#This Row],[% Used]])</f>
        <v>0.99990000000000001</v>
      </c>
      <c r="U250" s="4">
        <f>IF(OR(Dashboard_Query[[#This Row],[Monthly Allowance]]="",Dashboard_Query[[#This Row],[Current Usage]]=""),"",MAX(0,Dashboard_Query[[#This Row],[Current Usage]]-Dashboard_Query[[#This Row],[Monthly Allowance]]))</f>
        <v>0</v>
      </c>
      <c r="V250" s="4" t="str">
        <f>IF(Dashboard_Query[[#This Row],[Monthly Allowance]]="","",IF(Dashboard_Query[[#This Row],[Overage]]&gt;0,"OVER",IF(Dashboard_Query[[#This Row],[% Used]]&gt;=0.8,"WARNING","OK")))</f>
        <v>OK</v>
      </c>
    </row>
    <row r="251" spans="1:22" hidden="1">
      <c r="A251" s="4" t="s">
        <v>66</v>
      </c>
      <c r="B251" s="4"/>
      <c r="C251" s="4"/>
      <c r="D251" s="4"/>
      <c r="E251" s="4"/>
      <c r="F251" s="4"/>
      <c r="G251" s="6"/>
      <c r="H251" s="6"/>
      <c r="I251" s="32"/>
      <c r="J251" s="1"/>
      <c r="K251" s="4">
        <v>500</v>
      </c>
      <c r="L251" s="4" t="s">
        <v>122</v>
      </c>
      <c r="M251" s="4" t="s">
        <v>35</v>
      </c>
      <c r="N251" s="6"/>
      <c r="O251" s="1"/>
      <c r="P251" s="4">
        <v>0.05</v>
      </c>
      <c r="Q251" s="4">
        <v>0.05</v>
      </c>
      <c r="R251" s="4">
        <f>IF(
    OR(Dashboard_Query[[#This Row],[Monthly Allowance]]="",Dashboard_Query[[#This Row],[Current Usage]]=""),
    "",
    MAX(0,Dashboard_Query[[#This Row],[Monthly Allowance]]-Dashboard_Query[[#This Row],[Current Usage]])
)</f>
        <v>499.95</v>
      </c>
      <c r="S251" s="9">
        <f>IF(OR(Dashboard_Query[[#This Row],[Monthly Allowance]]="",Dashboard_Query[[#This Row],[Current Usage]]=""),"",Dashboard_Query[[#This Row],[Current Usage]]/Dashboard_Query[[#This Row],[Monthly Allowance]])</f>
        <v>1E-4</v>
      </c>
      <c r="T251" s="9">
        <f>IF(Dashboard_Query[[#This Row],[% Used]]="","",1-Dashboard_Query[[#This Row],[% Used]])</f>
        <v>0.99990000000000001</v>
      </c>
      <c r="U251" s="4">
        <f>IF(OR(Dashboard_Query[[#This Row],[Monthly Allowance]]="",Dashboard_Query[[#This Row],[Current Usage]]=""),"",MAX(0,Dashboard_Query[[#This Row],[Current Usage]]-Dashboard_Query[[#This Row],[Monthly Allowance]]))</f>
        <v>0</v>
      </c>
      <c r="V251" s="4" t="str">
        <f>IF(Dashboard_Query[[#This Row],[Monthly Allowance]]="","",IF(Dashboard_Query[[#This Row],[Overage]]&gt;0,"OVER",IF(Dashboard_Query[[#This Row],[% Used]]&gt;=0.8,"WARNING","OK")))</f>
        <v>OK</v>
      </c>
    </row>
    <row r="252" spans="1:22" hidden="1">
      <c r="A252" s="4" t="s">
        <v>67</v>
      </c>
      <c r="B252" s="4"/>
      <c r="C252" s="4"/>
      <c r="D252" s="4"/>
      <c r="E252" s="4"/>
      <c r="F252" s="4"/>
      <c r="G252" s="6"/>
      <c r="H252" s="6"/>
      <c r="I252" s="32"/>
      <c r="J252" s="1"/>
      <c r="K252" s="4">
        <v>500</v>
      </c>
      <c r="L252" s="4" t="s">
        <v>122</v>
      </c>
      <c r="M252" s="4" t="s">
        <v>35</v>
      </c>
      <c r="N252" s="6"/>
      <c r="O252" s="1"/>
      <c r="P252" s="4">
        <v>0.05</v>
      </c>
      <c r="Q252" s="4">
        <v>0.05</v>
      </c>
      <c r="R252" s="4">
        <f>IF(
    OR(Dashboard_Query[[#This Row],[Monthly Allowance]]="",Dashboard_Query[[#This Row],[Current Usage]]=""),
    "",
    MAX(0,Dashboard_Query[[#This Row],[Monthly Allowance]]-Dashboard_Query[[#This Row],[Current Usage]])
)</f>
        <v>499.95</v>
      </c>
      <c r="S252" s="9">
        <f>IF(OR(Dashboard_Query[[#This Row],[Monthly Allowance]]="",Dashboard_Query[[#This Row],[Current Usage]]=""),"",Dashboard_Query[[#This Row],[Current Usage]]/Dashboard_Query[[#This Row],[Monthly Allowance]])</f>
        <v>1E-4</v>
      </c>
      <c r="T252" s="9">
        <f>IF(Dashboard_Query[[#This Row],[% Used]]="","",1-Dashboard_Query[[#This Row],[% Used]])</f>
        <v>0.99990000000000001</v>
      </c>
      <c r="U252" s="4">
        <f>IF(OR(Dashboard_Query[[#This Row],[Monthly Allowance]]="",Dashboard_Query[[#This Row],[Current Usage]]=""),"",MAX(0,Dashboard_Query[[#This Row],[Current Usage]]-Dashboard_Query[[#This Row],[Monthly Allowance]]))</f>
        <v>0</v>
      </c>
      <c r="V252" s="4" t="str">
        <f>IF(Dashboard_Query[[#This Row],[Monthly Allowance]]="","",IF(Dashboard_Query[[#This Row],[Overage]]&gt;0,"OVER",IF(Dashboard_Query[[#This Row],[% Used]]&gt;=0.8,"WARNING","OK")))</f>
        <v>OK</v>
      </c>
    </row>
    <row r="253" spans="1:22" hidden="1">
      <c r="A253" s="4" t="s">
        <v>69</v>
      </c>
      <c r="B253" s="4"/>
      <c r="C253" s="4"/>
      <c r="D253" s="4"/>
      <c r="E253" s="4"/>
      <c r="F253" s="4"/>
      <c r="G253" s="6"/>
      <c r="H253" s="6"/>
      <c r="I253" s="32"/>
      <c r="J253" s="1"/>
      <c r="K253" s="4">
        <v>500</v>
      </c>
      <c r="L253" s="4" t="s">
        <v>122</v>
      </c>
      <c r="M253" s="4" t="s">
        <v>35</v>
      </c>
      <c r="N253" s="6"/>
      <c r="O253" s="1"/>
      <c r="P253" s="4">
        <v>0.05</v>
      </c>
      <c r="Q253" s="4">
        <v>0.05</v>
      </c>
      <c r="R253" s="4">
        <f>IF(
    OR(Dashboard_Query[[#This Row],[Monthly Allowance]]="",Dashboard_Query[[#This Row],[Current Usage]]=""),
    "",
    MAX(0,Dashboard_Query[[#This Row],[Monthly Allowance]]-Dashboard_Query[[#This Row],[Current Usage]])
)</f>
        <v>499.95</v>
      </c>
      <c r="S253" s="9">
        <f>IF(OR(Dashboard_Query[[#This Row],[Monthly Allowance]]="",Dashboard_Query[[#This Row],[Current Usage]]=""),"",Dashboard_Query[[#This Row],[Current Usage]]/Dashboard_Query[[#This Row],[Monthly Allowance]])</f>
        <v>1E-4</v>
      </c>
      <c r="T253" s="9">
        <f>IF(Dashboard_Query[[#This Row],[% Used]]="","",1-Dashboard_Query[[#This Row],[% Used]])</f>
        <v>0.99990000000000001</v>
      </c>
      <c r="U253" s="4">
        <f>IF(OR(Dashboard_Query[[#This Row],[Monthly Allowance]]="",Dashboard_Query[[#This Row],[Current Usage]]=""),"",MAX(0,Dashboard_Query[[#This Row],[Current Usage]]-Dashboard_Query[[#This Row],[Monthly Allowance]]))</f>
        <v>0</v>
      </c>
      <c r="V253" s="4" t="str">
        <f>IF(Dashboard_Query[[#This Row],[Monthly Allowance]]="","",IF(Dashboard_Query[[#This Row],[Overage]]&gt;0,"OVER",IF(Dashboard_Query[[#This Row],[% Used]]&gt;=0.8,"WARNING","OK")))</f>
        <v>OK</v>
      </c>
    </row>
    <row r="254" spans="1:22" hidden="1">
      <c r="A254" s="4" t="s">
        <v>70</v>
      </c>
      <c r="B254" s="4"/>
      <c r="C254" s="4"/>
      <c r="D254" s="4"/>
      <c r="E254" s="4"/>
      <c r="F254" s="4"/>
      <c r="G254" s="6"/>
      <c r="H254" s="6"/>
      <c r="I254" s="32"/>
      <c r="J254" s="1"/>
      <c r="K254" s="4">
        <v>500</v>
      </c>
      <c r="L254" s="4" t="s">
        <v>122</v>
      </c>
      <c r="M254" s="4" t="s">
        <v>35</v>
      </c>
      <c r="N254" s="6"/>
      <c r="O254" s="1"/>
      <c r="P254" s="4">
        <v>0.05</v>
      </c>
      <c r="Q254" s="4">
        <v>0.05</v>
      </c>
      <c r="R254" s="4">
        <f>IF(
    OR(Dashboard_Query[[#This Row],[Monthly Allowance]]="",Dashboard_Query[[#This Row],[Current Usage]]=""),
    "",
    MAX(0,Dashboard_Query[[#This Row],[Monthly Allowance]]-Dashboard_Query[[#This Row],[Current Usage]])
)</f>
        <v>499.95</v>
      </c>
      <c r="S254" s="9">
        <f>IF(OR(Dashboard_Query[[#This Row],[Monthly Allowance]]="",Dashboard_Query[[#This Row],[Current Usage]]=""),"",Dashboard_Query[[#This Row],[Current Usage]]/Dashboard_Query[[#This Row],[Monthly Allowance]])</f>
        <v>1E-4</v>
      </c>
      <c r="T254" s="9">
        <f>IF(Dashboard_Query[[#This Row],[% Used]]="","",1-Dashboard_Query[[#This Row],[% Used]])</f>
        <v>0.99990000000000001</v>
      </c>
      <c r="U254" s="4">
        <f>IF(OR(Dashboard_Query[[#This Row],[Monthly Allowance]]="",Dashboard_Query[[#This Row],[Current Usage]]=""),"",MAX(0,Dashboard_Query[[#This Row],[Current Usage]]-Dashboard_Query[[#This Row],[Monthly Allowance]]))</f>
        <v>0</v>
      </c>
      <c r="V254" s="4" t="str">
        <f>IF(Dashboard_Query[[#This Row],[Monthly Allowance]]="","",IF(Dashboard_Query[[#This Row],[Overage]]&gt;0,"OVER",IF(Dashboard_Query[[#This Row],[% Used]]&gt;=0.8,"WARNING","OK")))</f>
        <v>OK</v>
      </c>
    </row>
    <row r="255" spans="1:22" hidden="1">
      <c r="A255" s="4" t="s">
        <v>71</v>
      </c>
      <c r="B255" s="4"/>
      <c r="C255" s="4"/>
      <c r="D255" s="4"/>
      <c r="E255" s="4"/>
      <c r="F255" s="4"/>
      <c r="G255" s="6"/>
      <c r="H255" s="6"/>
      <c r="I255" s="32"/>
      <c r="J255" s="1"/>
      <c r="K255" s="4">
        <v>500</v>
      </c>
      <c r="L255" s="4" t="s">
        <v>122</v>
      </c>
      <c r="M255" s="4" t="s">
        <v>35</v>
      </c>
      <c r="N255" s="6"/>
      <c r="O255" s="1"/>
      <c r="P255" s="4">
        <v>0.05</v>
      </c>
      <c r="Q255" s="4">
        <v>0.05</v>
      </c>
      <c r="R255" s="4">
        <f>IF(
    OR(Dashboard_Query[[#This Row],[Monthly Allowance]]="",Dashboard_Query[[#This Row],[Current Usage]]=""),
    "",
    MAX(0,Dashboard_Query[[#This Row],[Monthly Allowance]]-Dashboard_Query[[#This Row],[Current Usage]])
)</f>
        <v>499.95</v>
      </c>
      <c r="S255" s="9">
        <f>IF(OR(Dashboard_Query[[#This Row],[Monthly Allowance]]="",Dashboard_Query[[#This Row],[Current Usage]]=""),"",Dashboard_Query[[#This Row],[Current Usage]]/Dashboard_Query[[#This Row],[Monthly Allowance]])</f>
        <v>1E-4</v>
      </c>
      <c r="T255" s="9">
        <f>IF(Dashboard_Query[[#This Row],[% Used]]="","",1-Dashboard_Query[[#This Row],[% Used]])</f>
        <v>0.99990000000000001</v>
      </c>
      <c r="U255" s="4">
        <f>IF(OR(Dashboard_Query[[#This Row],[Monthly Allowance]]="",Dashboard_Query[[#This Row],[Current Usage]]=""),"",MAX(0,Dashboard_Query[[#This Row],[Current Usage]]-Dashboard_Query[[#This Row],[Monthly Allowance]]))</f>
        <v>0</v>
      </c>
      <c r="V255" s="4" t="str">
        <f>IF(Dashboard_Query[[#This Row],[Monthly Allowance]]="","",IF(Dashboard_Query[[#This Row],[Overage]]&gt;0,"OVER",IF(Dashboard_Query[[#This Row],[% Used]]&gt;=0.8,"WARNING","OK")))</f>
        <v>OK</v>
      </c>
    </row>
    <row r="256" spans="1:22" hidden="1">
      <c r="A256" s="4" t="s">
        <v>72</v>
      </c>
      <c r="B256" s="4"/>
      <c r="C256" s="4"/>
      <c r="D256" s="4"/>
      <c r="E256" s="4"/>
      <c r="F256" s="4"/>
      <c r="G256" s="6"/>
      <c r="H256" s="6"/>
      <c r="I256" s="32"/>
      <c r="J256" s="1"/>
      <c r="K256" s="4">
        <v>500</v>
      </c>
      <c r="L256" s="4" t="s">
        <v>122</v>
      </c>
      <c r="M256" s="4" t="s">
        <v>35</v>
      </c>
      <c r="N256" s="6"/>
      <c r="O256" s="1"/>
      <c r="P256" s="4">
        <v>0.05</v>
      </c>
      <c r="Q256" s="4">
        <v>0.05</v>
      </c>
      <c r="R256" s="4">
        <f>IF(
    OR(Dashboard_Query[[#This Row],[Monthly Allowance]]="",Dashboard_Query[[#This Row],[Current Usage]]=""),
    "",
    MAX(0,Dashboard_Query[[#This Row],[Monthly Allowance]]-Dashboard_Query[[#This Row],[Current Usage]])
)</f>
        <v>499.95</v>
      </c>
      <c r="S256" s="9">
        <f>IF(OR(Dashboard_Query[[#This Row],[Monthly Allowance]]="",Dashboard_Query[[#This Row],[Current Usage]]=""),"",Dashboard_Query[[#This Row],[Current Usage]]/Dashboard_Query[[#This Row],[Monthly Allowance]])</f>
        <v>1E-4</v>
      </c>
      <c r="T256" s="9">
        <f>IF(Dashboard_Query[[#This Row],[% Used]]="","",1-Dashboard_Query[[#This Row],[% Used]])</f>
        <v>0.99990000000000001</v>
      </c>
      <c r="U256" s="4">
        <f>IF(OR(Dashboard_Query[[#This Row],[Monthly Allowance]]="",Dashboard_Query[[#This Row],[Current Usage]]=""),"",MAX(0,Dashboard_Query[[#This Row],[Current Usage]]-Dashboard_Query[[#This Row],[Monthly Allowance]]))</f>
        <v>0</v>
      </c>
      <c r="V256" s="4" t="str">
        <f>IF(Dashboard_Query[[#This Row],[Monthly Allowance]]="","",IF(Dashboard_Query[[#This Row],[Overage]]&gt;0,"OVER",IF(Dashboard_Query[[#This Row],[% Used]]&gt;=0.8,"WARNING","OK")))</f>
        <v>OK</v>
      </c>
    </row>
    <row r="257" spans="1:22" hidden="1">
      <c r="A257" s="4" t="s">
        <v>74</v>
      </c>
      <c r="B257" s="4"/>
      <c r="C257" s="4"/>
      <c r="D257" s="4"/>
      <c r="E257" s="4"/>
      <c r="F257" s="4"/>
      <c r="G257" s="6"/>
      <c r="H257" s="6"/>
      <c r="I257" s="32"/>
      <c r="J257" s="1"/>
      <c r="K257" s="4">
        <v>500</v>
      </c>
      <c r="L257" s="4" t="s">
        <v>122</v>
      </c>
      <c r="M257" s="4" t="s">
        <v>35</v>
      </c>
      <c r="N257" s="6"/>
      <c r="O257" s="1"/>
      <c r="P257" s="4">
        <v>0.05</v>
      </c>
      <c r="Q257" s="4">
        <v>0.05</v>
      </c>
      <c r="R257" s="4">
        <f>IF(
    OR(Dashboard_Query[[#This Row],[Monthly Allowance]]="",Dashboard_Query[[#This Row],[Current Usage]]=""),
    "",
    MAX(0,Dashboard_Query[[#This Row],[Monthly Allowance]]-Dashboard_Query[[#This Row],[Current Usage]])
)</f>
        <v>499.95</v>
      </c>
      <c r="S257" s="9">
        <f>IF(OR(Dashboard_Query[[#This Row],[Monthly Allowance]]="",Dashboard_Query[[#This Row],[Current Usage]]=""),"",Dashboard_Query[[#This Row],[Current Usage]]/Dashboard_Query[[#This Row],[Monthly Allowance]])</f>
        <v>1E-4</v>
      </c>
      <c r="T257" s="9">
        <f>IF(Dashboard_Query[[#This Row],[% Used]]="","",1-Dashboard_Query[[#This Row],[% Used]])</f>
        <v>0.99990000000000001</v>
      </c>
      <c r="U257" s="4">
        <f>IF(OR(Dashboard_Query[[#This Row],[Monthly Allowance]]="",Dashboard_Query[[#This Row],[Current Usage]]=""),"",MAX(0,Dashboard_Query[[#This Row],[Current Usage]]-Dashboard_Query[[#This Row],[Monthly Allowance]]))</f>
        <v>0</v>
      </c>
      <c r="V257" s="4" t="str">
        <f>IF(Dashboard_Query[[#This Row],[Monthly Allowance]]="","",IF(Dashboard_Query[[#This Row],[Overage]]&gt;0,"OVER",IF(Dashboard_Query[[#This Row],[% Used]]&gt;=0.8,"WARNING","OK")))</f>
        <v>OK</v>
      </c>
    </row>
    <row r="258" spans="1:22" hidden="1">
      <c r="A258" s="4" t="s">
        <v>80</v>
      </c>
      <c r="B258" s="4"/>
      <c r="C258" s="4"/>
      <c r="D258" s="4"/>
      <c r="E258" s="4"/>
      <c r="F258" s="4"/>
      <c r="G258" s="6"/>
      <c r="H258" s="6"/>
      <c r="I258" s="32"/>
      <c r="J258" s="1"/>
      <c r="K258" s="4">
        <v>500</v>
      </c>
      <c r="L258" s="4" t="s">
        <v>122</v>
      </c>
      <c r="M258" s="4" t="s">
        <v>35</v>
      </c>
      <c r="N258" s="6"/>
      <c r="O258" s="1"/>
      <c r="P258" s="4">
        <v>0.05</v>
      </c>
      <c r="Q258" s="4">
        <v>0.05</v>
      </c>
      <c r="R258" s="4">
        <f>IF(
    OR(Dashboard_Query[[#This Row],[Monthly Allowance]]="",Dashboard_Query[[#This Row],[Current Usage]]=""),
    "",
    MAX(0,Dashboard_Query[[#This Row],[Monthly Allowance]]-Dashboard_Query[[#This Row],[Current Usage]])
)</f>
        <v>499.95</v>
      </c>
      <c r="S258" s="9">
        <f>IF(OR(Dashboard_Query[[#This Row],[Monthly Allowance]]="",Dashboard_Query[[#This Row],[Current Usage]]=""),"",Dashboard_Query[[#This Row],[Current Usage]]/Dashboard_Query[[#This Row],[Monthly Allowance]])</f>
        <v>1E-4</v>
      </c>
      <c r="T258" s="9">
        <f>IF(Dashboard_Query[[#This Row],[% Used]]="","",1-Dashboard_Query[[#This Row],[% Used]])</f>
        <v>0.99990000000000001</v>
      </c>
      <c r="U258" s="4">
        <f>IF(OR(Dashboard_Query[[#This Row],[Monthly Allowance]]="",Dashboard_Query[[#This Row],[Current Usage]]=""),"",MAX(0,Dashboard_Query[[#This Row],[Current Usage]]-Dashboard_Query[[#This Row],[Monthly Allowance]]))</f>
        <v>0</v>
      </c>
      <c r="V258" s="4" t="str">
        <f>IF(Dashboard_Query[[#This Row],[Monthly Allowance]]="","",IF(Dashboard_Query[[#This Row],[Overage]]&gt;0,"OVER",IF(Dashboard_Query[[#This Row],[% Used]]&gt;=0.8,"WARNING","OK")))</f>
        <v>OK</v>
      </c>
    </row>
    <row r="259" spans="1:22" hidden="1">
      <c r="A259" s="4" t="s">
        <v>85</v>
      </c>
      <c r="B259" s="4"/>
      <c r="C259" s="4"/>
      <c r="D259" s="4"/>
      <c r="E259" s="4"/>
      <c r="F259" s="4"/>
      <c r="G259" s="6"/>
      <c r="H259" s="6"/>
      <c r="I259" s="32"/>
      <c r="J259" s="1"/>
      <c r="K259" s="4">
        <v>500</v>
      </c>
      <c r="L259" s="4" t="s">
        <v>122</v>
      </c>
      <c r="M259" s="4" t="s">
        <v>35</v>
      </c>
      <c r="N259" s="6"/>
      <c r="O259" s="1"/>
      <c r="P259" s="4">
        <v>0.05</v>
      </c>
      <c r="Q259" s="4">
        <v>0.05</v>
      </c>
      <c r="R259" s="4">
        <f>IF(
    OR(Dashboard_Query[[#This Row],[Monthly Allowance]]="",Dashboard_Query[[#This Row],[Current Usage]]=""),
    "",
    MAX(0,Dashboard_Query[[#This Row],[Monthly Allowance]]-Dashboard_Query[[#This Row],[Current Usage]])
)</f>
        <v>499.95</v>
      </c>
      <c r="S259" s="9">
        <f>IF(OR(Dashboard_Query[[#This Row],[Monthly Allowance]]="",Dashboard_Query[[#This Row],[Current Usage]]=""),"",Dashboard_Query[[#This Row],[Current Usage]]/Dashboard_Query[[#This Row],[Monthly Allowance]])</f>
        <v>1E-4</v>
      </c>
      <c r="T259" s="9">
        <f>IF(Dashboard_Query[[#This Row],[% Used]]="","",1-Dashboard_Query[[#This Row],[% Used]])</f>
        <v>0.99990000000000001</v>
      </c>
      <c r="U259" s="4">
        <f>IF(OR(Dashboard_Query[[#This Row],[Monthly Allowance]]="",Dashboard_Query[[#This Row],[Current Usage]]=""),"",MAX(0,Dashboard_Query[[#This Row],[Current Usage]]-Dashboard_Query[[#This Row],[Monthly Allowance]]))</f>
        <v>0</v>
      </c>
      <c r="V259" s="4" t="str">
        <f>IF(Dashboard_Query[[#This Row],[Monthly Allowance]]="","",IF(Dashboard_Query[[#This Row],[Overage]]&gt;0,"OVER",IF(Dashboard_Query[[#This Row],[% Used]]&gt;=0.8,"WARNING","OK")))</f>
        <v>OK</v>
      </c>
    </row>
    <row r="260" spans="1:22" hidden="1">
      <c r="A260" s="4" t="s">
        <v>89</v>
      </c>
      <c r="B260" s="4"/>
      <c r="C260" s="4"/>
      <c r="D260" s="4"/>
      <c r="E260" s="4"/>
      <c r="F260" s="4"/>
      <c r="G260" s="6"/>
      <c r="H260" s="6"/>
      <c r="I260" s="32"/>
      <c r="J260" s="1"/>
      <c r="K260" s="4">
        <v>500</v>
      </c>
      <c r="L260" s="4" t="s">
        <v>122</v>
      </c>
      <c r="M260" s="4" t="s">
        <v>35</v>
      </c>
      <c r="N260" s="6"/>
      <c r="O260" s="1"/>
      <c r="P260" s="4">
        <v>0.05</v>
      </c>
      <c r="Q260" s="4">
        <v>0.05</v>
      </c>
      <c r="R260" s="4">
        <f>IF(
    OR(Dashboard_Query[[#This Row],[Monthly Allowance]]="",Dashboard_Query[[#This Row],[Current Usage]]=""),
    "",
    MAX(0,Dashboard_Query[[#This Row],[Monthly Allowance]]-Dashboard_Query[[#This Row],[Current Usage]])
)</f>
        <v>499.95</v>
      </c>
      <c r="S260" s="9">
        <f>IF(OR(Dashboard_Query[[#This Row],[Monthly Allowance]]="",Dashboard_Query[[#This Row],[Current Usage]]=""),"",Dashboard_Query[[#This Row],[Current Usage]]/Dashboard_Query[[#This Row],[Monthly Allowance]])</f>
        <v>1E-4</v>
      </c>
      <c r="T260" s="9">
        <f>IF(Dashboard_Query[[#This Row],[% Used]]="","",1-Dashboard_Query[[#This Row],[% Used]])</f>
        <v>0.99990000000000001</v>
      </c>
      <c r="U260" s="4">
        <f>IF(OR(Dashboard_Query[[#This Row],[Monthly Allowance]]="",Dashboard_Query[[#This Row],[Current Usage]]=""),"",MAX(0,Dashboard_Query[[#This Row],[Current Usage]]-Dashboard_Query[[#This Row],[Monthly Allowance]]))</f>
        <v>0</v>
      </c>
      <c r="V260" s="4" t="str">
        <f>IF(Dashboard_Query[[#This Row],[Monthly Allowance]]="","",IF(Dashboard_Query[[#This Row],[Overage]]&gt;0,"OVER",IF(Dashboard_Query[[#This Row],[% Used]]&gt;=0.8,"WARNING","OK")))</f>
        <v>OK</v>
      </c>
    </row>
    <row r="261" spans="1:22" hidden="1">
      <c r="A261" s="4" t="s">
        <v>95</v>
      </c>
      <c r="B261" s="4"/>
      <c r="C261" s="4"/>
      <c r="D261" s="4"/>
      <c r="E261" s="4"/>
      <c r="F261" s="4"/>
      <c r="G261" s="6"/>
      <c r="H261" s="6"/>
      <c r="I261" s="32"/>
      <c r="J261" s="1"/>
      <c r="K261" s="4">
        <v>500</v>
      </c>
      <c r="L261" s="4" t="s">
        <v>122</v>
      </c>
      <c r="M261" s="4" t="s">
        <v>35</v>
      </c>
      <c r="N261" s="6"/>
      <c r="O261" s="1"/>
      <c r="P261" s="4">
        <v>0.05</v>
      </c>
      <c r="Q261" s="4">
        <v>0.05</v>
      </c>
      <c r="R261" s="4">
        <f>IF(
    OR(Dashboard_Query[[#This Row],[Monthly Allowance]]="",Dashboard_Query[[#This Row],[Current Usage]]=""),
    "",
    MAX(0,Dashboard_Query[[#This Row],[Monthly Allowance]]-Dashboard_Query[[#This Row],[Current Usage]])
)</f>
        <v>499.95</v>
      </c>
      <c r="S261" s="9">
        <f>IF(OR(Dashboard_Query[[#This Row],[Monthly Allowance]]="",Dashboard_Query[[#This Row],[Current Usage]]=""),"",Dashboard_Query[[#This Row],[Current Usage]]/Dashboard_Query[[#This Row],[Monthly Allowance]])</f>
        <v>1E-4</v>
      </c>
      <c r="T261" s="9">
        <f>IF(Dashboard_Query[[#This Row],[% Used]]="","",1-Dashboard_Query[[#This Row],[% Used]])</f>
        <v>0.99990000000000001</v>
      </c>
      <c r="U261" s="4">
        <f>IF(OR(Dashboard_Query[[#This Row],[Monthly Allowance]]="",Dashboard_Query[[#This Row],[Current Usage]]=""),"",MAX(0,Dashboard_Query[[#This Row],[Current Usage]]-Dashboard_Query[[#This Row],[Monthly Allowance]]))</f>
        <v>0</v>
      </c>
      <c r="V261" s="4" t="str">
        <f>IF(Dashboard_Query[[#This Row],[Monthly Allowance]]="","",IF(Dashboard_Query[[#This Row],[Overage]]&gt;0,"OVER",IF(Dashboard_Query[[#This Row],[% Used]]&gt;=0.8,"WARNING","OK")))</f>
        <v>OK</v>
      </c>
    </row>
    <row r="262" spans="1:22" hidden="1">
      <c r="A262" s="4" t="s">
        <v>98</v>
      </c>
      <c r="B262" s="4"/>
      <c r="C262" s="4"/>
      <c r="D262" s="4"/>
      <c r="E262" s="4"/>
      <c r="F262" s="4"/>
      <c r="G262" s="6"/>
      <c r="H262" s="6"/>
      <c r="I262" s="32"/>
      <c r="J262" s="1"/>
      <c r="K262" s="4">
        <v>500</v>
      </c>
      <c r="L262" s="4" t="s">
        <v>122</v>
      </c>
      <c r="M262" s="4" t="s">
        <v>35</v>
      </c>
      <c r="N262" s="6"/>
      <c r="O262" s="1"/>
      <c r="P262" s="4">
        <v>0.05</v>
      </c>
      <c r="Q262" s="4">
        <v>0.05</v>
      </c>
      <c r="R262" s="4">
        <f>IF(
    OR(Dashboard_Query[[#This Row],[Monthly Allowance]]="",Dashboard_Query[[#This Row],[Current Usage]]=""),
    "",
    MAX(0,Dashboard_Query[[#This Row],[Monthly Allowance]]-Dashboard_Query[[#This Row],[Current Usage]])
)</f>
        <v>499.95</v>
      </c>
      <c r="S262" s="9">
        <f>IF(OR(Dashboard_Query[[#This Row],[Monthly Allowance]]="",Dashboard_Query[[#This Row],[Current Usage]]=""),"",Dashboard_Query[[#This Row],[Current Usage]]/Dashboard_Query[[#This Row],[Monthly Allowance]])</f>
        <v>1E-4</v>
      </c>
      <c r="T262" s="9">
        <f>IF(Dashboard_Query[[#This Row],[% Used]]="","",1-Dashboard_Query[[#This Row],[% Used]])</f>
        <v>0.99990000000000001</v>
      </c>
      <c r="U262" s="4">
        <f>IF(OR(Dashboard_Query[[#This Row],[Monthly Allowance]]="",Dashboard_Query[[#This Row],[Current Usage]]=""),"",MAX(0,Dashboard_Query[[#This Row],[Current Usage]]-Dashboard_Query[[#This Row],[Monthly Allowance]]))</f>
        <v>0</v>
      </c>
      <c r="V262" s="4" t="str">
        <f>IF(Dashboard_Query[[#This Row],[Monthly Allowance]]="","",IF(Dashboard_Query[[#This Row],[Overage]]&gt;0,"OVER",IF(Dashboard_Query[[#This Row],[% Used]]&gt;=0.8,"WARNING","OK")))</f>
        <v>OK</v>
      </c>
    </row>
    <row r="263" spans="1:22" hidden="1">
      <c r="A263" s="4" t="s">
        <v>107</v>
      </c>
      <c r="B263" s="4"/>
      <c r="C263" s="4"/>
      <c r="D263" s="4"/>
      <c r="E263" s="4"/>
      <c r="F263" s="4"/>
      <c r="G263" s="6"/>
      <c r="H263" s="6"/>
      <c r="I263" s="32"/>
      <c r="J263" s="1"/>
      <c r="K263" s="4">
        <v>500</v>
      </c>
      <c r="L263" s="4" t="s">
        <v>122</v>
      </c>
      <c r="M263" s="4" t="s">
        <v>35</v>
      </c>
      <c r="N263" s="6"/>
      <c r="O263" s="1"/>
      <c r="P263" s="4">
        <v>0.05</v>
      </c>
      <c r="Q263" s="4">
        <v>0.05</v>
      </c>
      <c r="R263" s="4">
        <f>IF(
    OR(Dashboard_Query[[#This Row],[Monthly Allowance]]="",Dashboard_Query[[#This Row],[Current Usage]]=""),
    "",
    MAX(0,Dashboard_Query[[#This Row],[Monthly Allowance]]-Dashboard_Query[[#This Row],[Current Usage]])
)</f>
        <v>499.95</v>
      </c>
      <c r="S263" s="9">
        <f>IF(OR(Dashboard_Query[[#This Row],[Monthly Allowance]]="",Dashboard_Query[[#This Row],[Current Usage]]=""),"",Dashboard_Query[[#This Row],[Current Usage]]/Dashboard_Query[[#This Row],[Monthly Allowance]])</f>
        <v>1E-4</v>
      </c>
      <c r="T263" s="9">
        <f>IF(Dashboard_Query[[#This Row],[% Used]]="","",1-Dashboard_Query[[#This Row],[% Used]])</f>
        <v>0.99990000000000001</v>
      </c>
      <c r="U263" s="4">
        <f>IF(OR(Dashboard_Query[[#This Row],[Monthly Allowance]]="",Dashboard_Query[[#This Row],[Current Usage]]=""),"",MAX(0,Dashboard_Query[[#This Row],[Current Usage]]-Dashboard_Query[[#This Row],[Monthly Allowance]]))</f>
        <v>0</v>
      </c>
      <c r="V263" s="4" t="str">
        <f>IF(Dashboard_Query[[#This Row],[Monthly Allowance]]="","",IF(Dashboard_Query[[#This Row],[Overage]]&gt;0,"OVER",IF(Dashboard_Query[[#This Row],[% Used]]&gt;=0.8,"WARNING","OK")))</f>
        <v>OK</v>
      </c>
    </row>
    <row r="264" spans="1:22" hidden="1">
      <c r="A264" s="4" t="s">
        <v>40</v>
      </c>
      <c r="B264" s="4"/>
      <c r="C264" s="4"/>
      <c r="D264" s="4"/>
      <c r="E264" s="4"/>
      <c r="F264" s="4"/>
      <c r="G264" s="6"/>
      <c r="H264" s="6"/>
      <c r="I264" s="32"/>
      <c r="J264" s="1"/>
      <c r="K264" s="4">
        <v>500</v>
      </c>
      <c r="L264" s="4" t="s">
        <v>122</v>
      </c>
      <c r="M264" s="4" t="s">
        <v>35</v>
      </c>
      <c r="N264" s="6"/>
      <c r="O264" s="1"/>
      <c r="P264" s="4">
        <v>0.04</v>
      </c>
      <c r="Q264" s="4">
        <v>0.04</v>
      </c>
      <c r="R264" s="4">
        <f>IF(
    OR(Dashboard_Query[[#This Row],[Monthly Allowance]]="",Dashboard_Query[[#This Row],[Current Usage]]=""),
    "",
    MAX(0,Dashboard_Query[[#This Row],[Monthly Allowance]]-Dashboard_Query[[#This Row],[Current Usage]])
)</f>
        <v>499.96</v>
      </c>
      <c r="S264" s="9">
        <f>IF(OR(Dashboard_Query[[#This Row],[Monthly Allowance]]="",Dashboard_Query[[#This Row],[Current Usage]]=""),"",Dashboard_Query[[#This Row],[Current Usage]]/Dashboard_Query[[#This Row],[Monthly Allowance]])</f>
        <v>8.0000000000000007E-5</v>
      </c>
      <c r="T264" s="9">
        <f>IF(Dashboard_Query[[#This Row],[% Used]]="","",1-Dashboard_Query[[#This Row],[% Used]])</f>
        <v>0.99992000000000003</v>
      </c>
      <c r="U264" s="4">
        <f>IF(OR(Dashboard_Query[[#This Row],[Monthly Allowance]]="",Dashboard_Query[[#This Row],[Current Usage]]=""),"",MAX(0,Dashboard_Query[[#This Row],[Current Usage]]-Dashboard_Query[[#This Row],[Monthly Allowance]]))</f>
        <v>0</v>
      </c>
      <c r="V264" s="4" t="str">
        <f>IF(Dashboard_Query[[#This Row],[Monthly Allowance]]="","",IF(Dashboard_Query[[#This Row],[Overage]]&gt;0,"OVER",IF(Dashboard_Query[[#This Row],[% Used]]&gt;=0.8,"WARNING","OK")))</f>
        <v>OK</v>
      </c>
    </row>
    <row r="265" spans="1:22" hidden="1">
      <c r="A265" s="4" t="s">
        <v>52</v>
      </c>
      <c r="B265" s="4"/>
      <c r="C265" s="4"/>
      <c r="D265" s="4"/>
      <c r="E265" s="4"/>
      <c r="F265" s="4"/>
      <c r="G265" s="6"/>
      <c r="H265" s="6"/>
      <c r="I265" s="32"/>
      <c r="J265" s="1"/>
      <c r="K265" s="4">
        <v>500</v>
      </c>
      <c r="L265" s="4" t="s">
        <v>122</v>
      </c>
      <c r="M265" s="4" t="s">
        <v>35</v>
      </c>
      <c r="N265" s="6"/>
      <c r="O265" s="1"/>
      <c r="P265" s="4">
        <v>0.04</v>
      </c>
      <c r="Q265" s="4">
        <v>0.04</v>
      </c>
      <c r="R265" s="4">
        <f>IF(
    OR(Dashboard_Query[[#This Row],[Monthly Allowance]]="",Dashboard_Query[[#This Row],[Current Usage]]=""),
    "",
    MAX(0,Dashboard_Query[[#This Row],[Monthly Allowance]]-Dashboard_Query[[#This Row],[Current Usage]])
)</f>
        <v>499.96</v>
      </c>
      <c r="S265" s="9">
        <f>IF(OR(Dashboard_Query[[#This Row],[Monthly Allowance]]="",Dashboard_Query[[#This Row],[Current Usage]]=""),"",Dashboard_Query[[#This Row],[Current Usage]]/Dashboard_Query[[#This Row],[Monthly Allowance]])</f>
        <v>8.0000000000000007E-5</v>
      </c>
      <c r="T265" s="9">
        <f>IF(Dashboard_Query[[#This Row],[% Used]]="","",1-Dashboard_Query[[#This Row],[% Used]])</f>
        <v>0.99992000000000003</v>
      </c>
      <c r="U265" s="4">
        <f>IF(OR(Dashboard_Query[[#This Row],[Monthly Allowance]]="",Dashboard_Query[[#This Row],[Current Usage]]=""),"",MAX(0,Dashboard_Query[[#This Row],[Current Usage]]-Dashboard_Query[[#This Row],[Monthly Allowance]]))</f>
        <v>0</v>
      </c>
      <c r="V265" s="4" t="str">
        <f>IF(Dashboard_Query[[#This Row],[Monthly Allowance]]="","",IF(Dashboard_Query[[#This Row],[Overage]]&gt;0,"OVER",IF(Dashboard_Query[[#This Row],[% Used]]&gt;=0.8,"WARNING","OK")))</f>
        <v>OK</v>
      </c>
    </row>
    <row r="266" spans="1:22" hidden="1">
      <c r="A266" s="4" t="s">
        <v>78</v>
      </c>
      <c r="B266" s="4"/>
      <c r="C266" s="4"/>
      <c r="D266" s="4"/>
      <c r="E266" s="4"/>
      <c r="F266" s="4"/>
      <c r="G266" s="6"/>
      <c r="H266" s="6"/>
      <c r="I266" s="32"/>
      <c r="J266" s="1"/>
      <c r="K266" s="4">
        <v>500</v>
      </c>
      <c r="L266" s="4" t="s">
        <v>122</v>
      </c>
      <c r="M266" s="4" t="s">
        <v>35</v>
      </c>
      <c r="N266" s="6"/>
      <c r="O266" s="1"/>
      <c r="P266" s="4">
        <v>0.04</v>
      </c>
      <c r="Q266" s="4">
        <v>0.04</v>
      </c>
      <c r="R266" s="4">
        <f>IF(
    OR(Dashboard_Query[[#This Row],[Monthly Allowance]]="",Dashboard_Query[[#This Row],[Current Usage]]=""),
    "",
    MAX(0,Dashboard_Query[[#This Row],[Monthly Allowance]]-Dashboard_Query[[#This Row],[Current Usage]])
)</f>
        <v>499.96</v>
      </c>
      <c r="S266" s="9">
        <f>IF(OR(Dashboard_Query[[#This Row],[Monthly Allowance]]="",Dashboard_Query[[#This Row],[Current Usage]]=""),"",Dashboard_Query[[#This Row],[Current Usage]]/Dashboard_Query[[#This Row],[Monthly Allowance]])</f>
        <v>8.0000000000000007E-5</v>
      </c>
      <c r="T266" s="9">
        <f>IF(Dashboard_Query[[#This Row],[% Used]]="","",1-Dashboard_Query[[#This Row],[% Used]])</f>
        <v>0.99992000000000003</v>
      </c>
      <c r="U266" s="4">
        <f>IF(OR(Dashboard_Query[[#This Row],[Monthly Allowance]]="",Dashboard_Query[[#This Row],[Current Usage]]=""),"",MAX(0,Dashboard_Query[[#This Row],[Current Usage]]-Dashboard_Query[[#This Row],[Monthly Allowance]]))</f>
        <v>0</v>
      </c>
      <c r="V266" s="4" t="str">
        <f>IF(Dashboard_Query[[#This Row],[Monthly Allowance]]="","",IF(Dashboard_Query[[#This Row],[Overage]]&gt;0,"OVER",IF(Dashboard_Query[[#This Row],[% Used]]&gt;=0.8,"WARNING","OK")))</f>
        <v>OK</v>
      </c>
    </row>
    <row r="267" spans="1:22" hidden="1">
      <c r="A267" s="4" t="s">
        <v>82</v>
      </c>
      <c r="B267" s="4"/>
      <c r="C267" s="4"/>
      <c r="D267" s="4"/>
      <c r="E267" s="4"/>
      <c r="F267" s="4"/>
      <c r="G267" s="6"/>
      <c r="H267" s="6"/>
      <c r="I267" s="32"/>
      <c r="J267" s="1"/>
      <c r="K267" s="4">
        <v>500</v>
      </c>
      <c r="L267" s="4" t="s">
        <v>122</v>
      </c>
      <c r="M267" s="4" t="s">
        <v>35</v>
      </c>
      <c r="N267" s="6"/>
      <c r="O267" s="1"/>
      <c r="P267" s="4">
        <v>0.04</v>
      </c>
      <c r="Q267" s="4">
        <v>0.04</v>
      </c>
      <c r="R267" s="4">
        <f>IF(
    OR(Dashboard_Query[[#This Row],[Monthly Allowance]]="",Dashboard_Query[[#This Row],[Current Usage]]=""),
    "",
    MAX(0,Dashboard_Query[[#This Row],[Monthly Allowance]]-Dashboard_Query[[#This Row],[Current Usage]])
)</f>
        <v>499.96</v>
      </c>
      <c r="S267" s="9">
        <f>IF(OR(Dashboard_Query[[#This Row],[Monthly Allowance]]="",Dashboard_Query[[#This Row],[Current Usage]]=""),"",Dashboard_Query[[#This Row],[Current Usage]]/Dashboard_Query[[#This Row],[Monthly Allowance]])</f>
        <v>8.0000000000000007E-5</v>
      </c>
      <c r="T267" s="9">
        <f>IF(Dashboard_Query[[#This Row],[% Used]]="","",1-Dashboard_Query[[#This Row],[% Used]])</f>
        <v>0.99992000000000003</v>
      </c>
      <c r="U267" s="4">
        <f>IF(OR(Dashboard_Query[[#This Row],[Monthly Allowance]]="",Dashboard_Query[[#This Row],[Current Usage]]=""),"",MAX(0,Dashboard_Query[[#This Row],[Current Usage]]-Dashboard_Query[[#This Row],[Monthly Allowance]]))</f>
        <v>0</v>
      </c>
      <c r="V267" s="4" t="str">
        <f>IF(Dashboard_Query[[#This Row],[Monthly Allowance]]="","",IF(Dashboard_Query[[#This Row],[Overage]]&gt;0,"OVER",IF(Dashboard_Query[[#This Row],[% Used]]&gt;=0.8,"WARNING","OK")))</f>
        <v>OK</v>
      </c>
    </row>
    <row r="268" spans="1:22" hidden="1">
      <c r="A268" s="4" t="s">
        <v>87</v>
      </c>
      <c r="B268" s="4"/>
      <c r="C268" s="4"/>
      <c r="D268" s="4"/>
      <c r="E268" s="4"/>
      <c r="F268" s="4"/>
      <c r="G268" s="6"/>
      <c r="H268" s="6"/>
      <c r="I268" s="32"/>
      <c r="J268" s="1"/>
      <c r="K268" s="4">
        <v>500</v>
      </c>
      <c r="L268" s="4" t="s">
        <v>122</v>
      </c>
      <c r="M268" s="4" t="s">
        <v>35</v>
      </c>
      <c r="N268" s="6"/>
      <c r="O268" s="1"/>
      <c r="P268" s="4">
        <v>0.04</v>
      </c>
      <c r="Q268" s="4">
        <v>0.04</v>
      </c>
      <c r="R268" s="4">
        <f>IF(
    OR(Dashboard_Query[[#This Row],[Monthly Allowance]]="",Dashboard_Query[[#This Row],[Current Usage]]=""),
    "",
    MAX(0,Dashboard_Query[[#This Row],[Monthly Allowance]]-Dashboard_Query[[#This Row],[Current Usage]])
)</f>
        <v>499.96</v>
      </c>
      <c r="S268" s="9">
        <f>IF(OR(Dashboard_Query[[#This Row],[Monthly Allowance]]="",Dashboard_Query[[#This Row],[Current Usage]]=""),"",Dashboard_Query[[#This Row],[Current Usage]]/Dashboard_Query[[#This Row],[Monthly Allowance]])</f>
        <v>8.0000000000000007E-5</v>
      </c>
      <c r="T268" s="9">
        <f>IF(Dashboard_Query[[#This Row],[% Used]]="","",1-Dashboard_Query[[#This Row],[% Used]])</f>
        <v>0.99992000000000003</v>
      </c>
      <c r="U268" s="4">
        <f>IF(OR(Dashboard_Query[[#This Row],[Monthly Allowance]]="",Dashboard_Query[[#This Row],[Current Usage]]=""),"",MAX(0,Dashboard_Query[[#This Row],[Current Usage]]-Dashboard_Query[[#This Row],[Monthly Allowance]]))</f>
        <v>0</v>
      </c>
      <c r="V268" s="4" t="str">
        <f>IF(Dashboard_Query[[#This Row],[Monthly Allowance]]="","",IF(Dashboard_Query[[#This Row],[Overage]]&gt;0,"OVER",IF(Dashboard_Query[[#This Row],[% Used]]&gt;=0.8,"WARNING","OK")))</f>
        <v>OK</v>
      </c>
    </row>
    <row r="269" spans="1:22" hidden="1">
      <c r="A269" s="4" t="s">
        <v>92</v>
      </c>
      <c r="B269" s="4"/>
      <c r="C269" s="4"/>
      <c r="D269" s="4"/>
      <c r="E269" s="4"/>
      <c r="F269" s="4"/>
      <c r="G269" s="6"/>
      <c r="H269" s="6"/>
      <c r="I269" s="32"/>
      <c r="J269" s="1"/>
      <c r="K269" s="4">
        <v>500</v>
      </c>
      <c r="L269" s="4" t="s">
        <v>122</v>
      </c>
      <c r="M269" s="4" t="s">
        <v>35</v>
      </c>
      <c r="N269" s="6"/>
      <c r="O269" s="1"/>
      <c r="P269" s="4">
        <v>0.04</v>
      </c>
      <c r="Q269" s="4">
        <v>0.04</v>
      </c>
      <c r="R269" s="4">
        <f>IF(
    OR(Dashboard_Query[[#This Row],[Monthly Allowance]]="",Dashboard_Query[[#This Row],[Current Usage]]=""),
    "",
    MAX(0,Dashboard_Query[[#This Row],[Monthly Allowance]]-Dashboard_Query[[#This Row],[Current Usage]])
)</f>
        <v>499.96</v>
      </c>
      <c r="S269" s="9">
        <f>IF(OR(Dashboard_Query[[#This Row],[Monthly Allowance]]="",Dashboard_Query[[#This Row],[Current Usage]]=""),"",Dashboard_Query[[#This Row],[Current Usage]]/Dashboard_Query[[#This Row],[Monthly Allowance]])</f>
        <v>8.0000000000000007E-5</v>
      </c>
      <c r="T269" s="9">
        <f>IF(Dashboard_Query[[#This Row],[% Used]]="","",1-Dashboard_Query[[#This Row],[% Used]])</f>
        <v>0.99992000000000003</v>
      </c>
      <c r="U269" s="4">
        <f>IF(OR(Dashboard_Query[[#This Row],[Monthly Allowance]]="",Dashboard_Query[[#This Row],[Current Usage]]=""),"",MAX(0,Dashboard_Query[[#This Row],[Current Usage]]-Dashboard_Query[[#This Row],[Monthly Allowance]]))</f>
        <v>0</v>
      </c>
      <c r="V269" s="4" t="str">
        <f>IF(Dashboard_Query[[#This Row],[Monthly Allowance]]="","",IF(Dashboard_Query[[#This Row],[Overage]]&gt;0,"OVER",IF(Dashboard_Query[[#This Row],[% Used]]&gt;=0.8,"WARNING","OK")))</f>
        <v>OK</v>
      </c>
    </row>
    <row r="270" spans="1:22" hidden="1">
      <c r="A270" s="4" t="s">
        <v>93</v>
      </c>
      <c r="B270" s="4"/>
      <c r="C270" s="4"/>
      <c r="D270" s="4"/>
      <c r="E270" s="4"/>
      <c r="F270" s="4"/>
      <c r="G270" s="6"/>
      <c r="H270" s="6"/>
      <c r="I270" s="32"/>
      <c r="J270" s="1"/>
      <c r="K270" s="4">
        <v>500</v>
      </c>
      <c r="L270" s="4" t="s">
        <v>122</v>
      </c>
      <c r="M270" s="4" t="s">
        <v>35</v>
      </c>
      <c r="N270" s="6"/>
      <c r="O270" s="1"/>
      <c r="P270" s="4">
        <v>0.04</v>
      </c>
      <c r="Q270" s="4">
        <v>0.04</v>
      </c>
      <c r="R270" s="4">
        <f>IF(
    OR(Dashboard_Query[[#This Row],[Monthly Allowance]]="",Dashboard_Query[[#This Row],[Current Usage]]=""),
    "",
    MAX(0,Dashboard_Query[[#This Row],[Monthly Allowance]]-Dashboard_Query[[#This Row],[Current Usage]])
)</f>
        <v>499.96</v>
      </c>
      <c r="S270" s="9">
        <f>IF(OR(Dashboard_Query[[#This Row],[Monthly Allowance]]="",Dashboard_Query[[#This Row],[Current Usage]]=""),"",Dashboard_Query[[#This Row],[Current Usage]]/Dashboard_Query[[#This Row],[Monthly Allowance]])</f>
        <v>8.0000000000000007E-5</v>
      </c>
      <c r="T270" s="9">
        <f>IF(Dashboard_Query[[#This Row],[% Used]]="","",1-Dashboard_Query[[#This Row],[% Used]])</f>
        <v>0.99992000000000003</v>
      </c>
      <c r="U270" s="4">
        <f>IF(OR(Dashboard_Query[[#This Row],[Monthly Allowance]]="",Dashboard_Query[[#This Row],[Current Usage]]=""),"",MAX(0,Dashboard_Query[[#This Row],[Current Usage]]-Dashboard_Query[[#This Row],[Monthly Allowance]]))</f>
        <v>0</v>
      </c>
      <c r="V270" s="4" t="str">
        <f>IF(Dashboard_Query[[#This Row],[Monthly Allowance]]="","",IF(Dashboard_Query[[#This Row],[Overage]]&gt;0,"OVER",IF(Dashboard_Query[[#This Row],[% Used]]&gt;=0.8,"WARNING","OK")))</f>
        <v>OK</v>
      </c>
    </row>
    <row r="271" spans="1:22" hidden="1">
      <c r="A271" s="4" t="s">
        <v>397</v>
      </c>
      <c r="B271" s="4">
        <v>816220</v>
      </c>
      <c r="C271" s="4"/>
      <c r="D271" s="4"/>
      <c r="E271" s="4"/>
      <c r="F271" s="4"/>
      <c r="G271" s="6"/>
      <c r="H271" s="6"/>
      <c r="I271" s="32"/>
      <c r="J271" s="1"/>
      <c r="K271" s="4">
        <v>500</v>
      </c>
      <c r="L271" s="4" t="s">
        <v>122</v>
      </c>
      <c r="M271" s="4" t="s">
        <v>35</v>
      </c>
      <c r="N271" s="6"/>
      <c r="O271" s="1"/>
      <c r="P271" s="4">
        <v>0.04</v>
      </c>
      <c r="Q271" s="4">
        <v>0.04</v>
      </c>
      <c r="R271" s="4">
        <f>IF(
    OR(Dashboard_Query[[#This Row],[Monthly Allowance]]="",Dashboard_Query[[#This Row],[Current Usage]]=""),
    "",
    MAX(0,Dashboard_Query[[#This Row],[Monthly Allowance]]-Dashboard_Query[[#This Row],[Current Usage]])
)</f>
        <v>499.96</v>
      </c>
      <c r="S271" s="9">
        <f>IF(OR(Dashboard_Query[[#This Row],[Monthly Allowance]]="",Dashboard_Query[[#This Row],[Current Usage]]=""),"",Dashboard_Query[[#This Row],[Current Usage]]/Dashboard_Query[[#This Row],[Monthly Allowance]])</f>
        <v>8.0000000000000007E-5</v>
      </c>
      <c r="T271" s="9">
        <f>IF(Dashboard_Query[[#This Row],[% Used]]="","",1-Dashboard_Query[[#This Row],[% Used]])</f>
        <v>0.99992000000000003</v>
      </c>
      <c r="U271" s="4">
        <f>IF(OR(Dashboard_Query[[#This Row],[Monthly Allowance]]="",Dashboard_Query[[#This Row],[Current Usage]]=""),"",MAX(0,Dashboard_Query[[#This Row],[Current Usage]]-Dashboard_Query[[#This Row],[Monthly Allowance]]))</f>
        <v>0</v>
      </c>
      <c r="V271" s="4" t="str">
        <f>IF(Dashboard_Query[[#This Row],[Monthly Allowance]]="","",IF(Dashboard_Query[[#This Row],[Overage]]&gt;0,"OVER",IF(Dashboard_Query[[#This Row],[% Used]]&gt;=0.8,"WARNING","OK")))</f>
        <v>OK</v>
      </c>
    </row>
    <row r="272" spans="1:22" hidden="1">
      <c r="A272" s="4" t="s">
        <v>118</v>
      </c>
      <c r="B272" s="4"/>
      <c r="C272" s="4"/>
      <c r="D272" s="4"/>
      <c r="E272" s="4"/>
      <c r="F272" s="4"/>
      <c r="G272" s="6"/>
      <c r="H272" s="6"/>
      <c r="I272" s="32"/>
      <c r="J272" s="1"/>
      <c r="K272" s="4">
        <v>500</v>
      </c>
      <c r="L272" s="4" t="s">
        <v>122</v>
      </c>
      <c r="M272" s="4" t="s">
        <v>35</v>
      </c>
      <c r="N272" s="6"/>
      <c r="O272" s="1"/>
      <c r="P272" s="4">
        <v>0.04</v>
      </c>
      <c r="Q272" s="4">
        <v>0.04</v>
      </c>
      <c r="R272" s="4">
        <f>IF(
    OR(Dashboard_Query[[#This Row],[Monthly Allowance]]="",Dashboard_Query[[#This Row],[Current Usage]]=""),
    "",
    MAX(0,Dashboard_Query[[#This Row],[Monthly Allowance]]-Dashboard_Query[[#This Row],[Current Usage]])
)</f>
        <v>499.96</v>
      </c>
      <c r="S272" s="9">
        <f>IF(OR(Dashboard_Query[[#This Row],[Monthly Allowance]]="",Dashboard_Query[[#This Row],[Current Usage]]=""),"",Dashboard_Query[[#This Row],[Current Usage]]/Dashboard_Query[[#This Row],[Monthly Allowance]])</f>
        <v>8.0000000000000007E-5</v>
      </c>
      <c r="T272" s="9">
        <f>IF(Dashboard_Query[[#This Row],[% Used]]="","",1-Dashboard_Query[[#This Row],[% Used]])</f>
        <v>0.99992000000000003</v>
      </c>
      <c r="U272" s="4">
        <f>IF(OR(Dashboard_Query[[#This Row],[Monthly Allowance]]="",Dashboard_Query[[#This Row],[Current Usage]]=""),"",MAX(0,Dashboard_Query[[#This Row],[Current Usage]]-Dashboard_Query[[#This Row],[Monthly Allowance]]))</f>
        <v>0</v>
      </c>
      <c r="V272" s="4" t="str">
        <f>IF(Dashboard_Query[[#This Row],[Monthly Allowance]]="","",IF(Dashboard_Query[[#This Row],[Overage]]&gt;0,"OVER",IF(Dashboard_Query[[#This Row],[% Used]]&gt;=0.8,"WARNING","OK")))</f>
        <v>OK</v>
      </c>
    </row>
    <row r="273" spans="1:22" hidden="1">
      <c r="A273" s="4" t="s">
        <v>106</v>
      </c>
      <c r="B273" s="4"/>
      <c r="C273" s="4"/>
      <c r="D273" s="4"/>
      <c r="E273" s="4"/>
      <c r="F273" s="4"/>
      <c r="G273" s="6"/>
      <c r="H273" s="6"/>
      <c r="I273" s="32"/>
      <c r="J273" s="1"/>
      <c r="K273" s="4">
        <v>500</v>
      </c>
      <c r="L273" s="4" t="s">
        <v>122</v>
      </c>
      <c r="M273" s="4" t="s">
        <v>35</v>
      </c>
      <c r="N273" s="6"/>
      <c r="O273" s="1"/>
      <c r="P273" s="4">
        <v>0.04</v>
      </c>
      <c r="Q273" s="4">
        <v>0.04</v>
      </c>
      <c r="R273" s="4">
        <f>IF(
    OR(Dashboard_Query[[#This Row],[Monthly Allowance]]="",Dashboard_Query[[#This Row],[Current Usage]]=""),
    "",
    MAX(0,Dashboard_Query[[#This Row],[Monthly Allowance]]-Dashboard_Query[[#This Row],[Current Usage]])
)</f>
        <v>499.96</v>
      </c>
      <c r="S273" s="9">
        <f>IF(OR(Dashboard_Query[[#This Row],[Monthly Allowance]]="",Dashboard_Query[[#This Row],[Current Usage]]=""),"",Dashboard_Query[[#This Row],[Current Usage]]/Dashboard_Query[[#This Row],[Monthly Allowance]])</f>
        <v>8.0000000000000007E-5</v>
      </c>
      <c r="T273" s="9">
        <f>IF(Dashboard_Query[[#This Row],[% Used]]="","",1-Dashboard_Query[[#This Row],[% Used]])</f>
        <v>0.99992000000000003</v>
      </c>
      <c r="U273" s="4">
        <f>IF(OR(Dashboard_Query[[#This Row],[Monthly Allowance]]="",Dashboard_Query[[#This Row],[Current Usage]]=""),"",MAX(0,Dashboard_Query[[#This Row],[Current Usage]]-Dashboard_Query[[#This Row],[Monthly Allowance]]))</f>
        <v>0</v>
      </c>
      <c r="V273" s="4" t="str">
        <f>IF(Dashboard_Query[[#This Row],[Monthly Allowance]]="","",IF(Dashboard_Query[[#This Row],[Overage]]&gt;0,"OVER",IF(Dashboard_Query[[#This Row],[% Used]]&gt;=0.8,"WARNING","OK")))</f>
        <v>OK</v>
      </c>
    </row>
    <row r="274" spans="1:22" hidden="1">
      <c r="A274" s="4" t="s">
        <v>112</v>
      </c>
      <c r="B274" s="4"/>
      <c r="C274" s="4"/>
      <c r="D274" s="4"/>
      <c r="E274" s="4"/>
      <c r="F274" s="4"/>
      <c r="G274" s="6"/>
      <c r="H274" s="6"/>
      <c r="I274" s="32"/>
      <c r="J274" s="1"/>
      <c r="K274" s="4">
        <v>500</v>
      </c>
      <c r="L274" s="4" t="s">
        <v>122</v>
      </c>
      <c r="M274" s="4" t="s">
        <v>35</v>
      </c>
      <c r="N274" s="6"/>
      <c r="O274" s="1"/>
      <c r="P274" s="4">
        <v>0.04</v>
      </c>
      <c r="Q274" s="4">
        <v>0.04</v>
      </c>
      <c r="R274" s="4">
        <f>IF(
    OR(Dashboard_Query[[#This Row],[Monthly Allowance]]="",Dashboard_Query[[#This Row],[Current Usage]]=""),
    "",
    MAX(0,Dashboard_Query[[#This Row],[Monthly Allowance]]-Dashboard_Query[[#This Row],[Current Usage]])
)</f>
        <v>499.96</v>
      </c>
      <c r="S274" s="9">
        <f>IF(OR(Dashboard_Query[[#This Row],[Monthly Allowance]]="",Dashboard_Query[[#This Row],[Current Usage]]=""),"",Dashboard_Query[[#This Row],[Current Usage]]/Dashboard_Query[[#This Row],[Monthly Allowance]])</f>
        <v>8.0000000000000007E-5</v>
      </c>
      <c r="T274" s="9">
        <f>IF(Dashboard_Query[[#This Row],[% Used]]="","",1-Dashboard_Query[[#This Row],[% Used]])</f>
        <v>0.99992000000000003</v>
      </c>
      <c r="U274" s="4">
        <f>IF(OR(Dashboard_Query[[#This Row],[Monthly Allowance]]="",Dashboard_Query[[#This Row],[Current Usage]]=""),"",MAX(0,Dashboard_Query[[#This Row],[Current Usage]]-Dashboard_Query[[#This Row],[Monthly Allowance]]))</f>
        <v>0</v>
      </c>
      <c r="V274" s="4" t="str">
        <f>IF(Dashboard_Query[[#This Row],[Monthly Allowance]]="","",IF(Dashboard_Query[[#This Row],[Overage]]&gt;0,"OVER",IF(Dashboard_Query[[#This Row],[% Used]]&gt;=0.8,"WARNING","OK")))</f>
        <v>OK</v>
      </c>
    </row>
    <row r="275" spans="1:22" hidden="1">
      <c r="A275" s="4" t="s">
        <v>117</v>
      </c>
      <c r="B275" s="4"/>
      <c r="C275" s="4"/>
      <c r="D275" s="4"/>
      <c r="E275" s="4"/>
      <c r="F275" s="4"/>
      <c r="G275" s="6"/>
      <c r="H275" s="6"/>
      <c r="I275" s="32"/>
      <c r="J275" s="1"/>
      <c r="K275" s="4">
        <v>500</v>
      </c>
      <c r="L275" s="4" t="s">
        <v>122</v>
      </c>
      <c r="M275" s="4" t="s">
        <v>35</v>
      </c>
      <c r="N275" s="6"/>
      <c r="O275" s="1"/>
      <c r="P275" s="4">
        <v>0.04</v>
      </c>
      <c r="Q275" s="4">
        <v>0.04</v>
      </c>
      <c r="R275" s="4">
        <f>IF(
    OR(Dashboard_Query[[#This Row],[Monthly Allowance]]="",Dashboard_Query[[#This Row],[Current Usage]]=""),
    "",
    MAX(0,Dashboard_Query[[#This Row],[Monthly Allowance]]-Dashboard_Query[[#This Row],[Current Usage]])
)</f>
        <v>499.96</v>
      </c>
      <c r="S275" s="9">
        <f>IF(OR(Dashboard_Query[[#This Row],[Monthly Allowance]]="",Dashboard_Query[[#This Row],[Current Usage]]=""),"",Dashboard_Query[[#This Row],[Current Usage]]/Dashboard_Query[[#This Row],[Monthly Allowance]])</f>
        <v>8.0000000000000007E-5</v>
      </c>
      <c r="T275" s="9">
        <f>IF(Dashboard_Query[[#This Row],[% Used]]="","",1-Dashboard_Query[[#This Row],[% Used]])</f>
        <v>0.99992000000000003</v>
      </c>
      <c r="U275" s="4">
        <f>IF(OR(Dashboard_Query[[#This Row],[Monthly Allowance]]="",Dashboard_Query[[#This Row],[Current Usage]]=""),"",MAX(0,Dashboard_Query[[#This Row],[Current Usage]]-Dashboard_Query[[#This Row],[Monthly Allowance]]))</f>
        <v>0</v>
      </c>
      <c r="V275" s="4" t="str">
        <f>IF(Dashboard_Query[[#This Row],[Monthly Allowance]]="","",IF(Dashboard_Query[[#This Row],[Overage]]&gt;0,"OVER",IF(Dashboard_Query[[#This Row],[% Used]]&gt;=0.8,"WARNING","OK")))</f>
        <v>OK</v>
      </c>
    </row>
    <row r="276" spans="1:22" hidden="1">
      <c r="A276" s="4" t="s">
        <v>119</v>
      </c>
      <c r="B276" s="4"/>
      <c r="C276" s="4"/>
      <c r="D276" s="4"/>
      <c r="E276" s="4"/>
      <c r="F276" s="4"/>
      <c r="G276" s="6"/>
      <c r="H276" s="6"/>
      <c r="I276" s="32"/>
      <c r="J276" s="1"/>
      <c r="K276" s="4">
        <v>500</v>
      </c>
      <c r="L276" s="4" t="s">
        <v>122</v>
      </c>
      <c r="M276" s="4" t="s">
        <v>35</v>
      </c>
      <c r="N276" s="6"/>
      <c r="O276" s="1"/>
      <c r="P276" s="4">
        <v>0.04</v>
      </c>
      <c r="Q276" s="4">
        <v>0.04</v>
      </c>
      <c r="R276" s="4">
        <f>IF(
    OR(Dashboard_Query[[#This Row],[Monthly Allowance]]="",Dashboard_Query[[#This Row],[Current Usage]]=""),
    "",
    MAX(0,Dashboard_Query[[#This Row],[Monthly Allowance]]-Dashboard_Query[[#This Row],[Current Usage]])
)</f>
        <v>499.96</v>
      </c>
      <c r="S276" s="9">
        <f>IF(OR(Dashboard_Query[[#This Row],[Monthly Allowance]]="",Dashboard_Query[[#This Row],[Current Usage]]=""),"",Dashboard_Query[[#This Row],[Current Usage]]/Dashboard_Query[[#This Row],[Monthly Allowance]])</f>
        <v>8.0000000000000007E-5</v>
      </c>
      <c r="T276" s="9">
        <f>IF(Dashboard_Query[[#This Row],[% Used]]="","",1-Dashboard_Query[[#This Row],[% Used]])</f>
        <v>0.99992000000000003</v>
      </c>
      <c r="U276" s="4">
        <f>IF(OR(Dashboard_Query[[#This Row],[Monthly Allowance]]="",Dashboard_Query[[#This Row],[Current Usage]]=""),"",MAX(0,Dashboard_Query[[#This Row],[Current Usage]]-Dashboard_Query[[#This Row],[Monthly Allowance]]))</f>
        <v>0</v>
      </c>
      <c r="V276" s="4" t="str">
        <f>IF(Dashboard_Query[[#This Row],[Monthly Allowance]]="","",IF(Dashboard_Query[[#This Row],[Overage]]&gt;0,"OVER",IF(Dashboard_Query[[#This Row],[% Used]]&gt;=0.8,"WARNING","OK")))</f>
        <v>OK</v>
      </c>
    </row>
    <row r="277" spans="1:22" hidden="1">
      <c r="A277" s="4" t="s">
        <v>120</v>
      </c>
      <c r="B277" s="4"/>
      <c r="C277" s="4"/>
      <c r="D277" s="4"/>
      <c r="E277" s="4"/>
      <c r="F277" s="4"/>
      <c r="G277" s="6"/>
      <c r="H277" s="6"/>
      <c r="I277" s="32"/>
      <c r="J277" s="1"/>
      <c r="K277" s="4">
        <v>500</v>
      </c>
      <c r="L277" s="4" t="s">
        <v>122</v>
      </c>
      <c r="M277" s="4" t="s">
        <v>35</v>
      </c>
      <c r="N277" s="6"/>
      <c r="O277" s="1"/>
      <c r="P277" s="4">
        <v>0.04</v>
      </c>
      <c r="Q277" s="4">
        <v>0.04</v>
      </c>
      <c r="R277" s="4">
        <f>IF(
    OR(Dashboard_Query[[#This Row],[Monthly Allowance]]="",Dashboard_Query[[#This Row],[Current Usage]]=""),
    "",
    MAX(0,Dashboard_Query[[#This Row],[Monthly Allowance]]-Dashboard_Query[[#This Row],[Current Usage]])
)</f>
        <v>499.96</v>
      </c>
      <c r="S277" s="9">
        <f>IF(OR(Dashboard_Query[[#This Row],[Monthly Allowance]]="",Dashboard_Query[[#This Row],[Current Usage]]=""),"",Dashboard_Query[[#This Row],[Current Usage]]/Dashboard_Query[[#This Row],[Monthly Allowance]])</f>
        <v>8.0000000000000007E-5</v>
      </c>
      <c r="T277" s="9">
        <f>IF(Dashboard_Query[[#This Row],[% Used]]="","",1-Dashboard_Query[[#This Row],[% Used]])</f>
        <v>0.99992000000000003</v>
      </c>
      <c r="U277" s="4">
        <f>IF(OR(Dashboard_Query[[#This Row],[Monthly Allowance]]="",Dashboard_Query[[#This Row],[Current Usage]]=""),"",MAX(0,Dashboard_Query[[#This Row],[Current Usage]]-Dashboard_Query[[#This Row],[Monthly Allowance]]))</f>
        <v>0</v>
      </c>
      <c r="V277" s="4" t="str">
        <f>IF(Dashboard_Query[[#This Row],[Monthly Allowance]]="","",IF(Dashboard_Query[[#This Row],[Overage]]&gt;0,"OVER",IF(Dashboard_Query[[#This Row],[% Used]]&gt;=0.8,"WARNING","OK")))</f>
        <v>OK</v>
      </c>
    </row>
    <row r="278" spans="1:22" hidden="1">
      <c r="A278" s="4" t="s">
        <v>49</v>
      </c>
      <c r="B278" s="4">
        <v>816222</v>
      </c>
      <c r="C278" s="4"/>
      <c r="D278" s="4"/>
      <c r="E278" s="4"/>
      <c r="F278" s="4"/>
      <c r="G278" s="6"/>
      <c r="H278" s="6"/>
      <c r="I278" s="32"/>
      <c r="J278" s="1"/>
      <c r="K278" s="4">
        <v>1000</v>
      </c>
      <c r="L278" s="4" t="s">
        <v>122</v>
      </c>
      <c r="M278" s="4" t="s">
        <v>35</v>
      </c>
      <c r="N278" s="6"/>
      <c r="O278" s="1"/>
      <c r="P278" s="4">
        <v>7.0000000000000007E-2</v>
      </c>
      <c r="Q278" s="4">
        <v>7.0000000000000007E-2</v>
      </c>
      <c r="R278" s="4">
        <f>IF(
    OR(Dashboard_Query[[#This Row],[Monthly Allowance]]="",Dashboard_Query[[#This Row],[Current Usage]]=""),
    "",
    MAX(0,Dashboard_Query[[#This Row],[Monthly Allowance]]-Dashboard_Query[[#This Row],[Current Usage]])
)</f>
        <v>999.93</v>
      </c>
      <c r="S278" s="9">
        <f>IF(OR(Dashboard_Query[[#This Row],[Monthly Allowance]]="",Dashboard_Query[[#This Row],[Current Usage]]=""),"",Dashboard_Query[[#This Row],[Current Usage]]/Dashboard_Query[[#This Row],[Monthly Allowance]])</f>
        <v>7.0000000000000007E-5</v>
      </c>
      <c r="T278" s="9">
        <f>IF(Dashboard_Query[[#This Row],[% Used]]="","",1-Dashboard_Query[[#This Row],[% Used]])</f>
        <v>0.99992999999999999</v>
      </c>
      <c r="U278" s="4">
        <f>IF(OR(Dashboard_Query[[#This Row],[Monthly Allowance]]="",Dashboard_Query[[#This Row],[Current Usage]]=""),"",MAX(0,Dashboard_Query[[#This Row],[Current Usage]]-Dashboard_Query[[#This Row],[Monthly Allowance]]))</f>
        <v>0</v>
      </c>
      <c r="V278" s="4" t="str">
        <f>IF(Dashboard_Query[[#This Row],[Monthly Allowance]]="","",IF(Dashboard_Query[[#This Row],[Overage]]&gt;0,"OVER",IF(Dashboard_Query[[#This Row],[% Used]]&gt;=0.8,"WARNING","OK")))</f>
        <v>OK</v>
      </c>
    </row>
    <row r="279" spans="1:22" hidden="1">
      <c r="A279" s="4" t="s">
        <v>60</v>
      </c>
      <c r="B279" s="4">
        <v>816224</v>
      </c>
      <c r="C279" s="4"/>
      <c r="D279" s="4"/>
      <c r="E279" s="4"/>
      <c r="F279" s="4"/>
      <c r="G279" s="6"/>
      <c r="H279" s="6"/>
      <c r="I279" s="32"/>
      <c r="J279" s="1"/>
      <c r="K279" s="4">
        <v>1000</v>
      </c>
      <c r="L279" s="4" t="s">
        <v>122</v>
      </c>
      <c r="M279" s="4" t="s">
        <v>35</v>
      </c>
      <c r="N279" s="6"/>
      <c r="O279" s="1"/>
      <c r="P279" s="4">
        <v>0.04</v>
      </c>
      <c r="Q279" s="4">
        <v>0.04</v>
      </c>
      <c r="R279" s="4">
        <f>IF(
    OR(Dashboard_Query[[#This Row],[Monthly Allowance]]="",Dashboard_Query[[#This Row],[Current Usage]]=""),
    "",
    MAX(0,Dashboard_Query[[#This Row],[Monthly Allowance]]-Dashboard_Query[[#This Row],[Current Usage]])
)</f>
        <v>999.96</v>
      </c>
      <c r="S279" s="9">
        <f>IF(OR(Dashboard_Query[[#This Row],[Monthly Allowance]]="",Dashboard_Query[[#This Row],[Current Usage]]=""),"",Dashboard_Query[[#This Row],[Current Usage]]/Dashboard_Query[[#This Row],[Monthly Allowance]])</f>
        <v>4.0000000000000003E-5</v>
      </c>
      <c r="T279" s="9">
        <f>IF(Dashboard_Query[[#This Row],[% Used]]="","",1-Dashboard_Query[[#This Row],[% Used]])</f>
        <v>0.99995999999999996</v>
      </c>
      <c r="U279" s="4">
        <f>IF(OR(Dashboard_Query[[#This Row],[Monthly Allowance]]="",Dashboard_Query[[#This Row],[Current Usage]]=""),"",MAX(0,Dashboard_Query[[#This Row],[Current Usage]]-Dashboard_Query[[#This Row],[Monthly Allowance]]))</f>
        <v>0</v>
      </c>
      <c r="V279" s="4" t="str">
        <f>IF(Dashboard_Query[[#This Row],[Monthly Allowance]]="","",IF(Dashboard_Query[[#This Row],[Overage]]&gt;0,"OVER",IF(Dashboard_Query[[#This Row],[% Used]]&gt;=0.8,"WARNING","OK")))</f>
        <v>OK</v>
      </c>
    </row>
    <row r="280" spans="1:22" hidden="1">
      <c r="A280" s="4" t="s">
        <v>77</v>
      </c>
      <c r="B280" s="4"/>
      <c r="C280" s="4"/>
      <c r="D280" s="4"/>
      <c r="E280" s="4"/>
      <c r="F280" s="4"/>
      <c r="G280" s="6"/>
      <c r="H280" s="6"/>
      <c r="I280" s="32"/>
      <c r="J280" s="1"/>
      <c r="K280" s="4">
        <v>500</v>
      </c>
      <c r="L280" s="4" t="s">
        <v>122</v>
      </c>
      <c r="M280" s="4" t="s">
        <v>35</v>
      </c>
      <c r="N280" s="6"/>
      <c r="O280" s="1"/>
      <c r="P280" s="4">
        <v>0.02</v>
      </c>
      <c r="Q280" s="4">
        <v>0.02</v>
      </c>
      <c r="R280" s="4">
        <f>IF(
    OR(Dashboard_Query[[#This Row],[Monthly Allowance]]="",Dashboard_Query[[#This Row],[Current Usage]]=""),
    "",
    MAX(0,Dashboard_Query[[#This Row],[Monthly Allowance]]-Dashboard_Query[[#This Row],[Current Usage]])
)</f>
        <v>499.98</v>
      </c>
      <c r="S280" s="9">
        <f>IF(OR(Dashboard_Query[[#This Row],[Monthly Allowance]]="",Dashboard_Query[[#This Row],[Current Usage]]=""),"",Dashboard_Query[[#This Row],[Current Usage]]/Dashboard_Query[[#This Row],[Monthly Allowance]])</f>
        <v>4.0000000000000003E-5</v>
      </c>
      <c r="T280" s="9">
        <f>IF(Dashboard_Query[[#This Row],[% Used]]="","",1-Dashboard_Query[[#This Row],[% Used]])</f>
        <v>0.99995999999999996</v>
      </c>
      <c r="U280" s="4">
        <f>IF(OR(Dashboard_Query[[#This Row],[Monthly Allowance]]="",Dashboard_Query[[#This Row],[Current Usage]]=""),"",MAX(0,Dashboard_Query[[#This Row],[Current Usage]]-Dashboard_Query[[#This Row],[Monthly Allowance]]))</f>
        <v>0</v>
      </c>
      <c r="V280" s="4" t="str">
        <f>IF(Dashboard_Query[[#This Row],[Monthly Allowance]]="","",IF(Dashboard_Query[[#This Row],[Overage]]&gt;0,"OVER",IF(Dashboard_Query[[#This Row],[% Used]]&gt;=0.8,"WARNING","OK")))</f>
        <v>OK</v>
      </c>
    </row>
    <row r="281" spans="1:22" hidden="1">
      <c r="A281" s="4" t="s">
        <v>315</v>
      </c>
      <c r="B281" s="4">
        <v>812817</v>
      </c>
      <c r="C281" s="4"/>
      <c r="D281" s="4"/>
      <c r="E281" s="4"/>
      <c r="F281" s="4"/>
      <c r="G281" s="6"/>
      <c r="H281" s="6"/>
      <c r="I281" s="32"/>
      <c r="J281" s="1"/>
      <c r="K281" s="4">
        <v>500</v>
      </c>
      <c r="L281" s="4" t="s">
        <v>122</v>
      </c>
      <c r="M281" s="4" t="s">
        <v>35</v>
      </c>
      <c r="N281" s="6"/>
      <c r="O281" s="1"/>
      <c r="P281" s="4">
        <v>0</v>
      </c>
      <c r="Q281" s="4">
        <v>0.01</v>
      </c>
      <c r="R281" s="4">
        <f>IF(
    OR(Dashboard_Query[[#This Row],[Monthly Allowance]]="",Dashboard_Query[[#This Row],[Current Usage]]=""),
    "",
    MAX(0,Dashboard_Query[[#This Row],[Monthly Allowance]]-Dashboard_Query[[#This Row],[Current Usage]])
)</f>
        <v>499.99</v>
      </c>
      <c r="S281" s="9">
        <f>IF(OR(Dashboard_Query[[#This Row],[Monthly Allowance]]="",Dashboard_Query[[#This Row],[Current Usage]]=""),"",Dashboard_Query[[#This Row],[Current Usage]]/Dashboard_Query[[#This Row],[Monthly Allowance]])</f>
        <v>2.0000000000000002E-5</v>
      </c>
      <c r="T281" s="9">
        <f>IF(Dashboard_Query[[#This Row],[% Used]]="","",1-Dashboard_Query[[#This Row],[% Used]])</f>
        <v>0.99997999999999998</v>
      </c>
      <c r="U281" s="4">
        <f>IF(OR(Dashboard_Query[[#This Row],[Monthly Allowance]]="",Dashboard_Query[[#This Row],[Current Usage]]=""),"",MAX(0,Dashboard_Query[[#This Row],[Current Usage]]-Dashboard_Query[[#This Row],[Monthly Allowance]]))</f>
        <v>0</v>
      </c>
      <c r="V281" s="4" t="str">
        <f>IF(Dashboard_Query[[#This Row],[Monthly Allowance]]="","",IF(Dashboard_Query[[#This Row],[Overage]]&gt;0,"OVER",IF(Dashboard_Query[[#This Row],[% Used]]&gt;=0.8,"WARNING","OK")))</f>
        <v>OK</v>
      </c>
    </row>
    <row r="282" spans="1:22" hidden="1">
      <c r="A282" s="4" t="s">
        <v>90</v>
      </c>
      <c r="B282" s="4"/>
      <c r="C282" s="4"/>
      <c r="D282" s="4"/>
      <c r="E282" s="4"/>
      <c r="F282" s="4"/>
      <c r="G282" s="6"/>
      <c r="H282" s="6"/>
      <c r="I282" s="32"/>
      <c r="J282" s="1"/>
      <c r="K282" s="4">
        <v>500</v>
      </c>
      <c r="L282" s="4" t="s">
        <v>122</v>
      </c>
      <c r="M282" s="4" t="s">
        <v>35</v>
      </c>
      <c r="N282" s="6"/>
      <c r="O282" s="1"/>
      <c r="P282" s="4">
        <v>0.01</v>
      </c>
      <c r="Q282" s="4">
        <v>0.01</v>
      </c>
      <c r="R282" s="4">
        <f>IF(
    OR(Dashboard_Query[[#This Row],[Monthly Allowance]]="",Dashboard_Query[[#This Row],[Current Usage]]=""),
    "",
    MAX(0,Dashboard_Query[[#This Row],[Monthly Allowance]]-Dashboard_Query[[#This Row],[Current Usage]])
)</f>
        <v>499.99</v>
      </c>
      <c r="S282" s="9">
        <f>IF(OR(Dashboard_Query[[#This Row],[Monthly Allowance]]="",Dashboard_Query[[#This Row],[Current Usage]]=""),"",Dashboard_Query[[#This Row],[Current Usage]]/Dashboard_Query[[#This Row],[Monthly Allowance]])</f>
        <v>2.0000000000000002E-5</v>
      </c>
      <c r="T282" s="9">
        <f>IF(Dashboard_Query[[#This Row],[% Used]]="","",1-Dashboard_Query[[#This Row],[% Used]])</f>
        <v>0.99997999999999998</v>
      </c>
      <c r="U282" s="4">
        <f>IF(OR(Dashboard_Query[[#This Row],[Monthly Allowance]]="",Dashboard_Query[[#This Row],[Current Usage]]=""),"",MAX(0,Dashboard_Query[[#This Row],[Current Usage]]-Dashboard_Query[[#This Row],[Monthly Allowance]]))</f>
        <v>0</v>
      </c>
      <c r="V282" s="4" t="str">
        <f>IF(Dashboard_Query[[#This Row],[Monthly Allowance]]="","",IF(Dashboard_Query[[#This Row],[Overage]]&gt;0,"OVER",IF(Dashboard_Query[[#This Row],[% Used]]&gt;=0.8,"WARNING","OK")))</f>
        <v>OK</v>
      </c>
    </row>
    <row r="283" spans="1:22">
      <c r="A283" s="4" t="s">
        <v>318</v>
      </c>
      <c r="B283" s="4">
        <v>812927</v>
      </c>
      <c r="C283" s="4" t="s">
        <v>319</v>
      </c>
      <c r="D283" s="4" t="s">
        <v>320</v>
      </c>
      <c r="E283" s="4" t="s">
        <v>321</v>
      </c>
      <c r="F283" s="4">
        <v>211121707</v>
      </c>
      <c r="G283" s="6">
        <v>46238</v>
      </c>
      <c r="H283" s="6">
        <v>46238</v>
      </c>
      <c r="I283" s="32">
        <v>46269</v>
      </c>
      <c r="J283" s="1">
        <v>11</v>
      </c>
      <c r="K283" s="4">
        <v>1000</v>
      </c>
      <c r="L283" s="4" t="s">
        <v>122</v>
      </c>
      <c r="M283" s="4" t="s">
        <v>123</v>
      </c>
      <c r="N283" s="6">
        <v>46238</v>
      </c>
      <c r="O283" s="1"/>
      <c r="P283" s="4">
        <v>0.01</v>
      </c>
      <c r="Q283" s="4">
        <v>0.01</v>
      </c>
      <c r="R283" s="4">
        <f>IF(
    OR(Dashboard_Query[[#This Row],[Monthly Allowance]]="",Dashboard_Query[[#This Row],[Current Usage]]=""),
    "",
    MAX(0,Dashboard_Query[[#This Row],[Monthly Allowance]]-Dashboard_Query[[#This Row],[Current Usage]])
)</f>
        <v>999.99</v>
      </c>
      <c r="S283" s="9">
        <f>IF(OR(Dashboard_Query[[#This Row],[Monthly Allowance]]="",Dashboard_Query[[#This Row],[Current Usage]]=""),"",Dashboard_Query[[#This Row],[Current Usage]]/Dashboard_Query[[#This Row],[Monthly Allowance]])</f>
        <v>1.0000000000000001E-5</v>
      </c>
      <c r="T283" s="9">
        <f>IF(Dashboard_Query[[#This Row],[% Used]]="","",1-Dashboard_Query[[#This Row],[% Used]])</f>
        <v>0.99999000000000005</v>
      </c>
      <c r="U283" s="4">
        <f>IF(OR(Dashboard_Query[[#This Row],[Monthly Allowance]]="",Dashboard_Query[[#This Row],[Current Usage]]=""),"",MAX(0,Dashboard_Query[[#This Row],[Current Usage]]-Dashboard_Query[[#This Row],[Monthly Allowance]]))</f>
        <v>0</v>
      </c>
      <c r="V283" s="4" t="str">
        <f>IF(Dashboard_Query[[#This Row],[Monthly Allowance]]="","",IF(Dashboard_Query[[#This Row],[Overage]]&gt;0,"OVER",IF(Dashboard_Query[[#This Row],[% Used]]&gt;=0.8,"WARNING","OK")))</f>
        <v>OK</v>
      </c>
    </row>
    <row r="284" spans="1:22">
      <c r="A284" s="4" t="s">
        <v>324</v>
      </c>
      <c r="B284" s="4">
        <v>812848</v>
      </c>
      <c r="C284" s="4" t="s">
        <v>173</v>
      </c>
      <c r="D284" s="4" t="s">
        <v>174</v>
      </c>
      <c r="E284" s="4" t="s">
        <v>175</v>
      </c>
      <c r="F284" s="4">
        <v>211120714</v>
      </c>
      <c r="G284" s="6">
        <v>46204</v>
      </c>
      <c r="H284" s="6">
        <v>46235</v>
      </c>
      <c r="I284" s="32">
        <v>46266</v>
      </c>
      <c r="J284" s="1">
        <v>8</v>
      </c>
      <c r="K284" s="4">
        <v>500</v>
      </c>
      <c r="L284" s="4" t="s">
        <v>122</v>
      </c>
      <c r="M284" s="4" t="s">
        <v>123</v>
      </c>
      <c r="N284" s="6">
        <v>46235</v>
      </c>
      <c r="O284" s="1"/>
      <c r="P284" s="4">
        <v>0</v>
      </c>
      <c r="Q284" s="4">
        <v>0</v>
      </c>
      <c r="R284" s="4">
        <f>IF(
    OR(Dashboard_Query[[#This Row],[Monthly Allowance]]="",Dashboard_Query[[#This Row],[Current Usage]]=""),
    "",
    MAX(0,Dashboard_Query[[#This Row],[Monthly Allowance]]-Dashboard_Query[[#This Row],[Current Usage]])
)</f>
        <v>500</v>
      </c>
      <c r="S284" s="9">
        <f>IF(OR(Dashboard_Query[[#This Row],[Monthly Allowance]]="",Dashboard_Query[[#This Row],[Current Usage]]=""),"",Dashboard_Query[[#This Row],[Current Usage]]/Dashboard_Query[[#This Row],[Monthly Allowance]])</f>
        <v>0</v>
      </c>
      <c r="T284" s="9">
        <f>IF(Dashboard_Query[[#This Row],[% Used]]="","",1-Dashboard_Query[[#This Row],[% Used]])</f>
        <v>1</v>
      </c>
      <c r="U284" s="4">
        <f>IF(OR(Dashboard_Query[[#This Row],[Monthly Allowance]]="",Dashboard_Query[[#This Row],[Current Usage]]=""),"",MAX(0,Dashboard_Query[[#This Row],[Current Usage]]-Dashboard_Query[[#This Row],[Monthly Allowance]]))</f>
        <v>0</v>
      </c>
      <c r="V284" s="4" t="str">
        <f>IF(Dashboard_Query[[#This Row],[Monthly Allowance]]="","",IF(Dashboard_Query[[#This Row],[Overage]]&gt;0,"OVER",IF(Dashboard_Query[[#This Row],[% Used]]&gt;=0.8,"WARNING","OK")))</f>
        <v>OK</v>
      </c>
    </row>
    <row r="285" spans="1:22">
      <c r="A285" s="4" t="s">
        <v>322</v>
      </c>
      <c r="B285" s="4">
        <v>807636</v>
      </c>
      <c r="C285" s="4" t="s">
        <v>141</v>
      </c>
      <c r="D285" s="4" t="s">
        <v>142</v>
      </c>
      <c r="E285" s="4" t="s">
        <v>143</v>
      </c>
      <c r="F285" s="4">
        <v>211118386</v>
      </c>
      <c r="G285" s="6">
        <v>46170</v>
      </c>
      <c r="H285" s="6">
        <v>46231</v>
      </c>
      <c r="I285" s="32">
        <v>46262</v>
      </c>
      <c r="J285" s="1">
        <v>4</v>
      </c>
      <c r="K285" s="4">
        <v>500</v>
      </c>
      <c r="L285" s="4" t="s">
        <v>122</v>
      </c>
      <c r="M285" s="4" t="s">
        <v>123</v>
      </c>
      <c r="N285" s="6">
        <v>46231</v>
      </c>
      <c r="O285" s="1"/>
      <c r="P285" s="4">
        <v>0</v>
      </c>
      <c r="Q285" s="4">
        <v>0</v>
      </c>
      <c r="R285" s="4">
        <f>IF(
    OR(Dashboard_Query[[#This Row],[Monthly Allowance]]="",Dashboard_Query[[#This Row],[Current Usage]]=""),
    "",
    MAX(0,Dashboard_Query[[#This Row],[Monthly Allowance]]-Dashboard_Query[[#This Row],[Current Usage]])
)</f>
        <v>500</v>
      </c>
      <c r="S285" s="9">
        <f>IF(OR(Dashboard_Query[[#This Row],[Monthly Allowance]]="",Dashboard_Query[[#This Row],[Current Usage]]=""),"",Dashboard_Query[[#This Row],[Current Usage]]/Dashboard_Query[[#This Row],[Monthly Allowance]])</f>
        <v>0</v>
      </c>
      <c r="T285" s="9">
        <f>IF(Dashboard_Query[[#This Row],[% Used]]="","",1-Dashboard_Query[[#This Row],[% Used]])</f>
        <v>1</v>
      </c>
      <c r="U285" s="4">
        <f>IF(OR(Dashboard_Query[[#This Row],[Monthly Allowance]]="",Dashboard_Query[[#This Row],[Current Usage]]=""),"",MAX(0,Dashboard_Query[[#This Row],[Current Usage]]-Dashboard_Query[[#This Row],[Monthly Allowance]]))</f>
        <v>0</v>
      </c>
      <c r="V285" s="4" t="str">
        <f>IF(Dashboard_Query[[#This Row],[Monthly Allowance]]="","",IF(Dashboard_Query[[#This Row],[Overage]]&gt;0,"OVER",IF(Dashboard_Query[[#This Row],[% Used]]&gt;=0.8,"WARNING","OK")))</f>
        <v>OK</v>
      </c>
    </row>
    <row r="286" spans="1:22">
      <c r="A286" s="4" t="s">
        <v>355</v>
      </c>
      <c r="B286" s="4">
        <v>809861</v>
      </c>
      <c r="C286" s="4" t="s">
        <v>186</v>
      </c>
      <c r="D286" s="4" t="s">
        <v>187</v>
      </c>
      <c r="E286" s="4" t="s">
        <v>188</v>
      </c>
      <c r="F286" s="4">
        <v>211121633</v>
      </c>
      <c r="G286" s="6">
        <v>46237</v>
      </c>
      <c r="H286" s="6">
        <v>46237</v>
      </c>
      <c r="I286" s="32">
        <v>46268</v>
      </c>
      <c r="J286" s="1">
        <v>10</v>
      </c>
      <c r="K286" s="4">
        <v>500</v>
      </c>
      <c r="L286" s="4" t="s">
        <v>122</v>
      </c>
      <c r="M286" s="4" t="s">
        <v>123</v>
      </c>
      <c r="N286" s="6">
        <v>46237</v>
      </c>
      <c r="O286" s="1"/>
      <c r="P286" s="4">
        <v>0</v>
      </c>
      <c r="Q286" s="4">
        <v>0</v>
      </c>
      <c r="R286" s="4">
        <f>IF(
    OR(Dashboard_Query[[#This Row],[Monthly Allowance]]="",Dashboard_Query[[#This Row],[Current Usage]]=""),
    "",
    MAX(0,Dashboard_Query[[#This Row],[Monthly Allowance]]-Dashboard_Query[[#This Row],[Current Usage]])
)</f>
        <v>500</v>
      </c>
      <c r="S286" s="9">
        <f>IF(OR(Dashboard_Query[[#This Row],[Monthly Allowance]]="",Dashboard_Query[[#This Row],[Current Usage]]=""),"",Dashboard_Query[[#This Row],[Current Usage]]/Dashboard_Query[[#This Row],[Monthly Allowance]])</f>
        <v>0</v>
      </c>
      <c r="T286" s="9">
        <f>IF(Dashboard_Query[[#This Row],[% Used]]="","",1-Dashboard_Query[[#This Row],[% Used]])</f>
        <v>1</v>
      </c>
      <c r="U286" s="4">
        <f>IF(OR(Dashboard_Query[[#This Row],[Monthly Allowance]]="",Dashboard_Query[[#This Row],[Current Usage]]=""),"",MAX(0,Dashboard_Query[[#This Row],[Current Usage]]-Dashboard_Query[[#This Row],[Monthly Allowance]]))</f>
        <v>0</v>
      </c>
      <c r="V286" s="4" t="str">
        <f>IF(Dashboard_Query[[#This Row],[Monthly Allowance]]="","",IF(Dashboard_Query[[#This Row],[Overage]]&gt;0,"OVER",IF(Dashboard_Query[[#This Row],[% Used]]&gt;=0.8,"WARNING","OK")))</f>
        <v>OK</v>
      </c>
    </row>
    <row r="287" spans="1:22">
      <c r="A287" s="4" t="s">
        <v>296</v>
      </c>
      <c r="B287" s="4">
        <v>809869</v>
      </c>
      <c r="C287" s="4" t="s">
        <v>472</v>
      </c>
      <c r="D287" s="4" t="s">
        <v>393</v>
      </c>
      <c r="E287" s="4" t="s">
        <v>128</v>
      </c>
      <c r="F287" s="4">
        <v>211122084</v>
      </c>
      <c r="G287" s="6">
        <v>46248</v>
      </c>
      <c r="H287" s="6">
        <v>46248</v>
      </c>
      <c r="I287" s="32">
        <v>46279</v>
      </c>
      <c r="J287" s="1">
        <v>21</v>
      </c>
      <c r="K287" s="4">
        <v>500</v>
      </c>
      <c r="L287" s="4" t="s">
        <v>122</v>
      </c>
      <c r="M287" s="4" t="s">
        <v>123</v>
      </c>
      <c r="N287" s="6">
        <v>46248</v>
      </c>
      <c r="O287" s="1"/>
      <c r="P287" s="4">
        <v>0</v>
      </c>
      <c r="Q287" s="4">
        <v>0</v>
      </c>
      <c r="R287" s="4">
        <f>IF(
    OR(Dashboard_Query[[#This Row],[Monthly Allowance]]="",Dashboard_Query[[#This Row],[Current Usage]]=""),
    "",
    MAX(0,Dashboard_Query[[#This Row],[Monthly Allowance]]-Dashboard_Query[[#This Row],[Current Usage]])
)</f>
        <v>500</v>
      </c>
      <c r="S287" s="9">
        <f>IF(OR(Dashboard_Query[[#This Row],[Monthly Allowance]]="",Dashboard_Query[[#This Row],[Current Usage]]=""),"",Dashboard_Query[[#This Row],[Current Usage]]/Dashboard_Query[[#This Row],[Monthly Allowance]])</f>
        <v>0</v>
      </c>
      <c r="T287" s="9">
        <f>IF(Dashboard_Query[[#This Row],[% Used]]="","",1-Dashboard_Query[[#This Row],[% Used]])</f>
        <v>1</v>
      </c>
      <c r="U287" s="4">
        <f>IF(OR(Dashboard_Query[[#This Row],[Monthly Allowance]]="",Dashboard_Query[[#This Row],[Current Usage]]=""),"",MAX(0,Dashboard_Query[[#This Row],[Current Usage]]-Dashboard_Query[[#This Row],[Monthly Allowance]]))</f>
        <v>0</v>
      </c>
      <c r="V287" s="4" t="str">
        <f>IF(Dashboard_Query[[#This Row],[Monthly Allowance]]="","",IF(Dashboard_Query[[#This Row],[Overage]]&gt;0,"OVER",IF(Dashboard_Query[[#This Row],[% Used]]&gt;=0.8,"WARNING","OK")))</f>
        <v>OK</v>
      </c>
    </row>
    <row r="288" spans="1:22">
      <c r="A288" s="4" t="s">
        <v>357</v>
      </c>
      <c r="B288" s="4">
        <v>812824</v>
      </c>
      <c r="C288" s="4" t="s">
        <v>186</v>
      </c>
      <c r="D288" s="4" t="s">
        <v>187</v>
      </c>
      <c r="E288" s="4" t="s">
        <v>188</v>
      </c>
      <c r="F288" s="4">
        <v>211121633</v>
      </c>
      <c r="G288" s="6">
        <v>46237</v>
      </c>
      <c r="H288" s="6">
        <v>46237</v>
      </c>
      <c r="I288" s="32">
        <v>46268</v>
      </c>
      <c r="J288" s="1">
        <v>10</v>
      </c>
      <c r="K288" s="4">
        <v>500</v>
      </c>
      <c r="L288" s="4" t="s">
        <v>122</v>
      </c>
      <c r="M288" s="4" t="s">
        <v>123</v>
      </c>
      <c r="N288" s="6">
        <v>46237</v>
      </c>
      <c r="O288" s="1"/>
      <c r="P288" s="4">
        <v>0</v>
      </c>
      <c r="Q288" s="4">
        <v>0</v>
      </c>
      <c r="R288" s="4">
        <f>IF(
    OR(Dashboard_Query[[#This Row],[Monthly Allowance]]="",Dashboard_Query[[#This Row],[Current Usage]]=""),
    "",
    MAX(0,Dashboard_Query[[#This Row],[Monthly Allowance]]-Dashboard_Query[[#This Row],[Current Usage]])
)</f>
        <v>500</v>
      </c>
      <c r="S288" s="9">
        <f>IF(OR(Dashboard_Query[[#This Row],[Monthly Allowance]]="",Dashboard_Query[[#This Row],[Current Usage]]=""),"",Dashboard_Query[[#This Row],[Current Usage]]/Dashboard_Query[[#This Row],[Monthly Allowance]])</f>
        <v>0</v>
      </c>
      <c r="T288" s="9">
        <f>IF(Dashboard_Query[[#This Row],[% Used]]="","",1-Dashboard_Query[[#This Row],[% Used]])</f>
        <v>1</v>
      </c>
      <c r="U288" s="4">
        <f>IF(OR(Dashboard_Query[[#This Row],[Monthly Allowance]]="",Dashboard_Query[[#This Row],[Current Usage]]=""),"",MAX(0,Dashboard_Query[[#This Row],[Current Usage]]-Dashboard_Query[[#This Row],[Monthly Allowance]]))</f>
        <v>0</v>
      </c>
      <c r="V288" s="4" t="str">
        <f>IF(Dashboard_Query[[#This Row],[Monthly Allowance]]="","",IF(Dashboard_Query[[#This Row],[Overage]]&gt;0,"OVER",IF(Dashboard_Query[[#This Row],[% Used]]&gt;=0.8,"WARNING","OK")))</f>
        <v>OK</v>
      </c>
    </row>
    <row r="289" spans="1:22">
      <c r="A289" s="4" t="s">
        <v>358</v>
      </c>
      <c r="B289" s="4">
        <v>812802</v>
      </c>
      <c r="C289" s="4" t="s">
        <v>186</v>
      </c>
      <c r="D289" s="4" t="s">
        <v>187</v>
      </c>
      <c r="E289" s="4" t="s">
        <v>188</v>
      </c>
      <c r="F289" s="4">
        <v>211121633</v>
      </c>
      <c r="G289" s="6">
        <v>46237</v>
      </c>
      <c r="H289" s="6">
        <v>46237</v>
      </c>
      <c r="I289" s="32">
        <v>46268</v>
      </c>
      <c r="J289" s="1">
        <v>10</v>
      </c>
      <c r="K289" s="4">
        <v>500</v>
      </c>
      <c r="L289" s="4" t="s">
        <v>122</v>
      </c>
      <c r="M289" s="4" t="s">
        <v>123</v>
      </c>
      <c r="N289" s="6">
        <v>46237</v>
      </c>
      <c r="O289" s="1"/>
      <c r="P289" s="4">
        <v>0</v>
      </c>
      <c r="Q289" s="4">
        <v>0</v>
      </c>
      <c r="R289" s="4">
        <f>IF(
    OR(Dashboard_Query[[#This Row],[Monthly Allowance]]="",Dashboard_Query[[#This Row],[Current Usage]]=""),
    "",
    MAX(0,Dashboard_Query[[#This Row],[Monthly Allowance]]-Dashboard_Query[[#This Row],[Current Usage]])
)</f>
        <v>500</v>
      </c>
      <c r="S289" s="9">
        <f>IF(OR(Dashboard_Query[[#This Row],[Monthly Allowance]]="",Dashboard_Query[[#This Row],[Current Usage]]=""),"",Dashboard_Query[[#This Row],[Current Usage]]/Dashboard_Query[[#This Row],[Monthly Allowance]])</f>
        <v>0</v>
      </c>
      <c r="T289" s="9">
        <f>IF(Dashboard_Query[[#This Row],[% Used]]="","",1-Dashboard_Query[[#This Row],[% Used]])</f>
        <v>1</v>
      </c>
      <c r="U289" s="4">
        <f>IF(OR(Dashboard_Query[[#This Row],[Monthly Allowance]]="",Dashboard_Query[[#This Row],[Current Usage]]=""),"",MAX(0,Dashboard_Query[[#This Row],[Current Usage]]-Dashboard_Query[[#This Row],[Monthly Allowance]]))</f>
        <v>0</v>
      </c>
      <c r="V289" s="4" t="str">
        <f>IF(Dashboard_Query[[#This Row],[Monthly Allowance]]="","",IF(Dashboard_Query[[#This Row],[Overage]]&gt;0,"OVER",IF(Dashboard_Query[[#This Row],[% Used]]&gt;=0.8,"WARNING","OK")))</f>
        <v>OK</v>
      </c>
    </row>
    <row r="290" spans="1:22">
      <c r="A290" s="4" t="s">
        <v>331</v>
      </c>
      <c r="B290" s="4">
        <v>812801</v>
      </c>
      <c r="C290" s="4" t="s">
        <v>186</v>
      </c>
      <c r="D290" s="4" t="s">
        <v>187</v>
      </c>
      <c r="E290" s="4" t="s">
        <v>188</v>
      </c>
      <c r="F290" s="4">
        <v>211121633</v>
      </c>
      <c r="G290" s="6">
        <v>46237</v>
      </c>
      <c r="H290" s="6">
        <v>46237</v>
      </c>
      <c r="I290" s="32">
        <v>46268</v>
      </c>
      <c r="J290" s="1">
        <v>10</v>
      </c>
      <c r="K290" s="4">
        <v>500</v>
      </c>
      <c r="L290" s="4" t="s">
        <v>122</v>
      </c>
      <c r="M290" s="4" t="s">
        <v>123</v>
      </c>
      <c r="N290" s="6">
        <v>46237</v>
      </c>
      <c r="O290" s="1"/>
      <c r="P290" s="4">
        <v>0</v>
      </c>
      <c r="Q290" s="4">
        <v>0</v>
      </c>
      <c r="R290" s="4">
        <f>IF(
    OR(Dashboard_Query[[#This Row],[Monthly Allowance]]="",Dashboard_Query[[#This Row],[Current Usage]]=""),
    "",
    MAX(0,Dashboard_Query[[#This Row],[Monthly Allowance]]-Dashboard_Query[[#This Row],[Current Usage]])
)</f>
        <v>500</v>
      </c>
      <c r="S290" s="9">
        <f>IF(OR(Dashboard_Query[[#This Row],[Monthly Allowance]]="",Dashboard_Query[[#This Row],[Current Usage]]=""),"",Dashboard_Query[[#This Row],[Current Usage]]/Dashboard_Query[[#This Row],[Monthly Allowance]])</f>
        <v>0</v>
      </c>
      <c r="T290" s="9">
        <f>IF(Dashboard_Query[[#This Row],[% Used]]="","",1-Dashboard_Query[[#This Row],[% Used]])</f>
        <v>1</v>
      </c>
      <c r="U290" s="4">
        <f>IF(OR(Dashboard_Query[[#This Row],[Monthly Allowance]]="",Dashboard_Query[[#This Row],[Current Usage]]=""),"",MAX(0,Dashboard_Query[[#This Row],[Current Usage]]-Dashboard_Query[[#This Row],[Monthly Allowance]]))</f>
        <v>0</v>
      </c>
      <c r="V290" s="4" t="str">
        <f>IF(Dashboard_Query[[#This Row],[Monthly Allowance]]="","",IF(Dashboard_Query[[#This Row],[Overage]]&gt;0,"OVER",IF(Dashboard_Query[[#This Row],[% Used]]&gt;=0.8,"WARNING","OK")))</f>
        <v>OK</v>
      </c>
    </row>
    <row r="291" spans="1:22">
      <c r="A291" s="4" t="s">
        <v>329</v>
      </c>
      <c r="B291" s="4">
        <v>812805</v>
      </c>
      <c r="C291" s="4" t="s">
        <v>173</v>
      </c>
      <c r="D291" s="4" t="s">
        <v>174</v>
      </c>
      <c r="E291" s="4" t="s">
        <v>175</v>
      </c>
      <c r="F291" s="4">
        <v>211120714</v>
      </c>
      <c r="G291" s="6">
        <v>46204</v>
      </c>
      <c r="H291" s="6">
        <v>46235</v>
      </c>
      <c r="I291" s="32">
        <v>46266</v>
      </c>
      <c r="J291" s="1">
        <v>8</v>
      </c>
      <c r="K291" s="4">
        <v>500</v>
      </c>
      <c r="L291" s="4" t="s">
        <v>122</v>
      </c>
      <c r="M291" s="4" t="s">
        <v>123</v>
      </c>
      <c r="N291" s="6">
        <v>46235</v>
      </c>
      <c r="O291" s="1"/>
      <c r="P291" s="4">
        <v>0</v>
      </c>
      <c r="Q291" s="4">
        <v>0</v>
      </c>
      <c r="R291" s="4">
        <f>IF(
    OR(Dashboard_Query[[#This Row],[Monthly Allowance]]="",Dashboard_Query[[#This Row],[Current Usage]]=""),
    "",
    MAX(0,Dashboard_Query[[#This Row],[Monthly Allowance]]-Dashboard_Query[[#This Row],[Current Usage]])
)</f>
        <v>500</v>
      </c>
      <c r="S291" s="9">
        <f>IF(OR(Dashboard_Query[[#This Row],[Monthly Allowance]]="",Dashboard_Query[[#This Row],[Current Usage]]=""),"",Dashboard_Query[[#This Row],[Current Usage]]/Dashboard_Query[[#This Row],[Monthly Allowance]])</f>
        <v>0</v>
      </c>
      <c r="T291" s="9">
        <f>IF(Dashboard_Query[[#This Row],[% Used]]="","",1-Dashboard_Query[[#This Row],[% Used]])</f>
        <v>1</v>
      </c>
      <c r="U291" s="4">
        <f>IF(OR(Dashboard_Query[[#This Row],[Monthly Allowance]]="",Dashboard_Query[[#This Row],[Current Usage]]=""),"",MAX(0,Dashboard_Query[[#This Row],[Current Usage]]-Dashboard_Query[[#This Row],[Monthly Allowance]]))</f>
        <v>0</v>
      </c>
      <c r="V291" s="4" t="str">
        <f>IF(Dashboard_Query[[#This Row],[Monthly Allowance]]="","",IF(Dashboard_Query[[#This Row],[Overage]]&gt;0,"OVER",IF(Dashboard_Query[[#This Row],[% Used]]&gt;=0.8,"WARNING","OK")))</f>
        <v>OK</v>
      </c>
    </row>
    <row r="292" spans="1:22">
      <c r="A292" s="4" t="s">
        <v>330</v>
      </c>
      <c r="B292" s="4">
        <v>812807</v>
      </c>
      <c r="C292" s="4" t="s">
        <v>173</v>
      </c>
      <c r="D292" s="4" t="s">
        <v>174</v>
      </c>
      <c r="E292" s="4" t="s">
        <v>175</v>
      </c>
      <c r="F292" s="4">
        <v>211120714</v>
      </c>
      <c r="G292" s="6">
        <v>46204</v>
      </c>
      <c r="H292" s="6">
        <v>46235</v>
      </c>
      <c r="I292" s="32">
        <v>46266</v>
      </c>
      <c r="J292" s="1">
        <v>8</v>
      </c>
      <c r="K292" s="4">
        <v>500</v>
      </c>
      <c r="L292" s="4" t="s">
        <v>122</v>
      </c>
      <c r="M292" s="4" t="s">
        <v>123</v>
      </c>
      <c r="N292" s="6">
        <v>46235</v>
      </c>
      <c r="O292" s="1"/>
      <c r="P292" s="4">
        <v>0.02</v>
      </c>
      <c r="Q292" s="4">
        <v>0</v>
      </c>
      <c r="R292" s="4">
        <f>IF(
    OR(Dashboard_Query[[#This Row],[Monthly Allowance]]="",Dashboard_Query[[#This Row],[Current Usage]]=""),
    "",
    MAX(0,Dashboard_Query[[#This Row],[Monthly Allowance]]-Dashboard_Query[[#This Row],[Current Usage]])
)</f>
        <v>500</v>
      </c>
      <c r="S292" s="9">
        <f>IF(OR(Dashboard_Query[[#This Row],[Monthly Allowance]]="",Dashboard_Query[[#This Row],[Current Usage]]=""),"",Dashboard_Query[[#This Row],[Current Usage]]/Dashboard_Query[[#This Row],[Monthly Allowance]])</f>
        <v>0</v>
      </c>
      <c r="T292" s="9">
        <f>IF(Dashboard_Query[[#This Row],[% Used]]="","",1-Dashboard_Query[[#This Row],[% Used]])</f>
        <v>1</v>
      </c>
      <c r="U292" s="4">
        <f>IF(OR(Dashboard_Query[[#This Row],[Monthly Allowance]]="",Dashboard_Query[[#This Row],[Current Usage]]=""),"",MAX(0,Dashboard_Query[[#This Row],[Current Usage]]-Dashboard_Query[[#This Row],[Monthly Allowance]]))</f>
        <v>0</v>
      </c>
      <c r="V292" s="4" t="str">
        <f>IF(Dashboard_Query[[#This Row],[Monthly Allowance]]="","",IF(Dashboard_Query[[#This Row],[Overage]]&gt;0,"OVER",IF(Dashboard_Query[[#This Row],[% Used]]&gt;=0.8,"WARNING","OK")))</f>
        <v>OK</v>
      </c>
    </row>
    <row r="293" spans="1:22">
      <c r="A293" s="4" t="s">
        <v>335</v>
      </c>
      <c r="B293" s="4">
        <v>812822</v>
      </c>
      <c r="C293" s="4" t="s">
        <v>173</v>
      </c>
      <c r="D293" s="4" t="s">
        <v>174</v>
      </c>
      <c r="E293" s="4" t="s">
        <v>175</v>
      </c>
      <c r="F293" s="4">
        <v>211120714</v>
      </c>
      <c r="G293" s="6">
        <v>46204</v>
      </c>
      <c r="H293" s="6">
        <v>46235</v>
      </c>
      <c r="I293" s="32">
        <v>46266</v>
      </c>
      <c r="J293" s="1">
        <v>8</v>
      </c>
      <c r="K293" s="4">
        <v>500</v>
      </c>
      <c r="L293" s="4" t="s">
        <v>122</v>
      </c>
      <c r="M293" s="4" t="s">
        <v>123</v>
      </c>
      <c r="N293" s="6">
        <v>46235</v>
      </c>
      <c r="O293" s="1"/>
      <c r="P293" s="4">
        <v>0</v>
      </c>
      <c r="Q293" s="4">
        <v>0</v>
      </c>
      <c r="R293" s="4">
        <f>IF(
    OR(Dashboard_Query[[#This Row],[Monthly Allowance]]="",Dashboard_Query[[#This Row],[Current Usage]]=""),
    "",
    MAX(0,Dashboard_Query[[#This Row],[Monthly Allowance]]-Dashboard_Query[[#This Row],[Current Usage]])
)</f>
        <v>500</v>
      </c>
      <c r="S293" s="9">
        <f>IF(OR(Dashboard_Query[[#This Row],[Monthly Allowance]]="",Dashboard_Query[[#This Row],[Current Usage]]=""),"",Dashboard_Query[[#This Row],[Current Usage]]/Dashboard_Query[[#This Row],[Monthly Allowance]])</f>
        <v>0</v>
      </c>
      <c r="T293" s="9">
        <f>IF(Dashboard_Query[[#This Row],[% Used]]="","",1-Dashboard_Query[[#This Row],[% Used]])</f>
        <v>1</v>
      </c>
      <c r="U293" s="4">
        <f>IF(OR(Dashboard_Query[[#This Row],[Monthly Allowance]]="",Dashboard_Query[[#This Row],[Current Usage]]=""),"",MAX(0,Dashboard_Query[[#This Row],[Current Usage]]-Dashboard_Query[[#This Row],[Monthly Allowance]]))</f>
        <v>0</v>
      </c>
      <c r="V293" s="4" t="str">
        <f>IF(Dashboard_Query[[#This Row],[Monthly Allowance]]="","",IF(Dashboard_Query[[#This Row],[Overage]]&gt;0,"OVER",IF(Dashboard_Query[[#This Row],[% Used]]&gt;=0.8,"WARNING","OK")))</f>
        <v>OK</v>
      </c>
    </row>
    <row r="294" spans="1:22">
      <c r="A294" s="4" t="s">
        <v>332</v>
      </c>
      <c r="B294" s="4">
        <v>812808</v>
      </c>
      <c r="C294" s="4" t="s">
        <v>173</v>
      </c>
      <c r="D294" s="4" t="s">
        <v>174</v>
      </c>
      <c r="E294" s="4" t="s">
        <v>175</v>
      </c>
      <c r="F294" s="4">
        <v>211120714</v>
      </c>
      <c r="G294" s="6">
        <v>46204</v>
      </c>
      <c r="H294" s="6">
        <v>46235</v>
      </c>
      <c r="I294" s="32">
        <v>46266</v>
      </c>
      <c r="J294" s="1">
        <v>8</v>
      </c>
      <c r="K294" s="4">
        <v>500</v>
      </c>
      <c r="L294" s="4" t="s">
        <v>122</v>
      </c>
      <c r="M294" s="4" t="s">
        <v>123</v>
      </c>
      <c r="N294" s="6">
        <v>46235</v>
      </c>
      <c r="O294" s="1"/>
      <c r="P294" s="4">
        <v>0</v>
      </c>
      <c r="Q294" s="4">
        <v>0</v>
      </c>
      <c r="R294" s="4">
        <f>IF(
    OR(Dashboard_Query[[#This Row],[Monthly Allowance]]="",Dashboard_Query[[#This Row],[Current Usage]]=""),
    "",
    MAX(0,Dashboard_Query[[#This Row],[Monthly Allowance]]-Dashboard_Query[[#This Row],[Current Usage]])
)</f>
        <v>500</v>
      </c>
      <c r="S294" s="9">
        <f>IF(OR(Dashboard_Query[[#This Row],[Monthly Allowance]]="",Dashboard_Query[[#This Row],[Current Usage]]=""),"",Dashboard_Query[[#This Row],[Current Usage]]/Dashboard_Query[[#This Row],[Monthly Allowance]])</f>
        <v>0</v>
      </c>
      <c r="T294" s="9">
        <f>IF(Dashboard_Query[[#This Row],[% Used]]="","",1-Dashboard_Query[[#This Row],[% Used]])</f>
        <v>1</v>
      </c>
      <c r="U294" s="4">
        <f>IF(OR(Dashboard_Query[[#This Row],[Monthly Allowance]]="",Dashboard_Query[[#This Row],[Current Usage]]=""),"",MAX(0,Dashboard_Query[[#This Row],[Current Usage]]-Dashboard_Query[[#This Row],[Monthly Allowance]]))</f>
        <v>0</v>
      </c>
      <c r="V294" s="4" t="str">
        <f>IF(Dashboard_Query[[#This Row],[Monthly Allowance]]="","",IF(Dashboard_Query[[#This Row],[Overage]]&gt;0,"OVER",IF(Dashboard_Query[[#This Row],[% Used]]&gt;=0.8,"WARNING","OK")))</f>
        <v>OK</v>
      </c>
    </row>
    <row r="295" spans="1:22">
      <c r="A295" s="4" t="s">
        <v>336</v>
      </c>
      <c r="B295" s="4">
        <v>812813</v>
      </c>
      <c r="C295" s="4" t="s">
        <v>337</v>
      </c>
      <c r="D295" s="4" t="s">
        <v>338</v>
      </c>
      <c r="E295" s="4" t="s">
        <v>339</v>
      </c>
      <c r="F295" s="4">
        <v>211120837</v>
      </c>
      <c r="G295" s="6">
        <v>46210</v>
      </c>
      <c r="H295" s="6">
        <v>46241</v>
      </c>
      <c r="I295" s="32">
        <v>46272</v>
      </c>
      <c r="J295" s="1">
        <v>14</v>
      </c>
      <c r="K295" s="4">
        <v>500</v>
      </c>
      <c r="L295" s="4" t="s">
        <v>122</v>
      </c>
      <c r="M295" s="4" t="s">
        <v>123</v>
      </c>
      <c r="N295" s="6">
        <v>46241</v>
      </c>
      <c r="O295" s="1"/>
      <c r="P295" s="4">
        <v>0</v>
      </c>
      <c r="Q295" s="4">
        <v>0</v>
      </c>
      <c r="R295" s="4">
        <f>IF(
    OR(Dashboard_Query[[#This Row],[Monthly Allowance]]="",Dashboard_Query[[#This Row],[Current Usage]]=""),
    "",
    MAX(0,Dashboard_Query[[#This Row],[Monthly Allowance]]-Dashboard_Query[[#This Row],[Current Usage]])
)</f>
        <v>500</v>
      </c>
      <c r="S295" s="9">
        <f>IF(OR(Dashboard_Query[[#This Row],[Monthly Allowance]]="",Dashboard_Query[[#This Row],[Current Usage]]=""),"",Dashboard_Query[[#This Row],[Current Usage]]/Dashboard_Query[[#This Row],[Monthly Allowance]])</f>
        <v>0</v>
      </c>
      <c r="T295" s="9">
        <f>IF(Dashboard_Query[[#This Row],[% Used]]="","",1-Dashboard_Query[[#This Row],[% Used]])</f>
        <v>1</v>
      </c>
      <c r="U295" s="4">
        <f>IF(OR(Dashboard_Query[[#This Row],[Monthly Allowance]]="",Dashboard_Query[[#This Row],[Current Usage]]=""),"",MAX(0,Dashboard_Query[[#This Row],[Current Usage]]-Dashboard_Query[[#This Row],[Monthly Allowance]]))</f>
        <v>0</v>
      </c>
      <c r="V295" s="4" t="str">
        <f>IF(Dashboard_Query[[#This Row],[Monthly Allowance]]="","",IF(Dashboard_Query[[#This Row],[Overage]]&gt;0,"OVER",IF(Dashboard_Query[[#This Row],[% Used]]&gt;=0.8,"WARNING","OK")))</f>
        <v>OK</v>
      </c>
    </row>
    <row r="296" spans="1:22">
      <c r="A296" s="4" t="s">
        <v>347</v>
      </c>
      <c r="B296" s="4">
        <v>810646</v>
      </c>
      <c r="C296" s="4" t="s">
        <v>186</v>
      </c>
      <c r="D296" s="4" t="s">
        <v>187</v>
      </c>
      <c r="E296" s="4" t="s">
        <v>188</v>
      </c>
      <c r="F296" s="4">
        <v>211121633</v>
      </c>
      <c r="G296" s="6">
        <v>46237</v>
      </c>
      <c r="H296" s="6">
        <v>46237</v>
      </c>
      <c r="I296" s="32">
        <v>46268</v>
      </c>
      <c r="J296" s="1">
        <v>10</v>
      </c>
      <c r="K296" s="4">
        <v>500</v>
      </c>
      <c r="L296" s="4" t="s">
        <v>122</v>
      </c>
      <c r="M296" s="4" t="s">
        <v>123</v>
      </c>
      <c r="N296" s="6">
        <v>46237</v>
      </c>
      <c r="O296" s="1"/>
      <c r="P296" s="4">
        <v>0</v>
      </c>
      <c r="Q296" s="4">
        <v>0</v>
      </c>
      <c r="R296" s="4">
        <f>IF(
    OR(Dashboard_Query[[#This Row],[Monthly Allowance]]="",Dashboard_Query[[#This Row],[Current Usage]]=""),
    "",
    MAX(0,Dashboard_Query[[#This Row],[Monthly Allowance]]-Dashboard_Query[[#This Row],[Current Usage]])
)</f>
        <v>500</v>
      </c>
      <c r="S296" s="9">
        <f>IF(OR(Dashboard_Query[[#This Row],[Monthly Allowance]]="",Dashboard_Query[[#This Row],[Current Usage]]=""),"",Dashboard_Query[[#This Row],[Current Usage]]/Dashboard_Query[[#This Row],[Monthly Allowance]])</f>
        <v>0</v>
      </c>
      <c r="T296" s="9">
        <f>IF(Dashboard_Query[[#This Row],[% Used]]="","",1-Dashboard_Query[[#This Row],[% Used]])</f>
        <v>1</v>
      </c>
      <c r="U296" s="4">
        <f>IF(OR(Dashboard_Query[[#This Row],[Monthly Allowance]]="",Dashboard_Query[[#This Row],[Current Usage]]=""),"",MAX(0,Dashboard_Query[[#This Row],[Current Usage]]-Dashboard_Query[[#This Row],[Monthly Allowance]]))</f>
        <v>0</v>
      </c>
      <c r="V296" s="4" t="str">
        <f>IF(Dashboard_Query[[#This Row],[Monthly Allowance]]="","",IF(Dashboard_Query[[#This Row],[Overage]]&gt;0,"OVER",IF(Dashboard_Query[[#This Row],[% Used]]&gt;=0.8,"WARNING","OK")))</f>
        <v>OK</v>
      </c>
    </row>
    <row r="297" spans="1:22">
      <c r="A297" s="4" t="s">
        <v>352</v>
      </c>
      <c r="B297" s="4">
        <v>809611</v>
      </c>
      <c r="C297" s="4" t="s">
        <v>186</v>
      </c>
      <c r="D297" s="4" t="s">
        <v>187</v>
      </c>
      <c r="E297" s="4" t="s">
        <v>188</v>
      </c>
      <c r="F297" s="4">
        <v>211121633</v>
      </c>
      <c r="G297" s="6">
        <v>46237</v>
      </c>
      <c r="H297" s="6">
        <v>46237</v>
      </c>
      <c r="I297" s="32">
        <v>46268</v>
      </c>
      <c r="J297" s="1">
        <v>10</v>
      </c>
      <c r="K297" s="4">
        <v>500</v>
      </c>
      <c r="L297" s="4" t="s">
        <v>122</v>
      </c>
      <c r="M297" s="4" t="s">
        <v>123</v>
      </c>
      <c r="N297" s="6">
        <v>46237</v>
      </c>
      <c r="O297" s="1"/>
      <c r="P297" s="4">
        <v>0</v>
      </c>
      <c r="Q297" s="4">
        <v>0</v>
      </c>
      <c r="R297" s="4">
        <f>IF(
    OR(Dashboard_Query[[#This Row],[Monthly Allowance]]="",Dashboard_Query[[#This Row],[Current Usage]]=""),
    "",
    MAX(0,Dashboard_Query[[#This Row],[Monthly Allowance]]-Dashboard_Query[[#This Row],[Current Usage]])
)</f>
        <v>500</v>
      </c>
      <c r="S297" s="9">
        <f>IF(OR(Dashboard_Query[[#This Row],[Monthly Allowance]]="",Dashboard_Query[[#This Row],[Current Usage]]=""),"",Dashboard_Query[[#This Row],[Current Usage]]/Dashboard_Query[[#This Row],[Monthly Allowance]])</f>
        <v>0</v>
      </c>
      <c r="T297" s="9">
        <f>IF(Dashboard_Query[[#This Row],[% Used]]="","",1-Dashboard_Query[[#This Row],[% Used]])</f>
        <v>1</v>
      </c>
      <c r="U297" s="4">
        <f>IF(OR(Dashboard_Query[[#This Row],[Monthly Allowance]]="",Dashboard_Query[[#This Row],[Current Usage]]=""),"",MAX(0,Dashboard_Query[[#This Row],[Current Usage]]-Dashboard_Query[[#This Row],[Monthly Allowance]]))</f>
        <v>0</v>
      </c>
      <c r="V297" s="4" t="str">
        <f>IF(Dashboard_Query[[#This Row],[Monthly Allowance]]="","",IF(Dashboard_Query[[#This Row],[Overage]]&gt;0,"OVER",IF(Dashboard_Query[[#This Row],[% Used]]&gt;=0.8,"WARNING","OK")))</f>
        <v>OK</v>
      </c>
    </row>
    <row r="298" spans="1:22">
      <c r="A298" s="4" t="s">
        <v>343</v>
      </c>
      <c r="B298" s="4">
        <v>812837</v>
      </c>
      <c r="C298" s="4" t="s">
        <v>173</v>
      </c>
      <c r="D298" s="4" t="s">
        <v>174</v>
      </c>
      <c r="E298" s="4" t="s">
        <v>175</v>
      </c>
      <c r="F298" s="4">
        <v>211120714</v>
      </c>
      <c r="G298" s="6">
        <v>46204</v>
      </c>
      <c r="H298" s="6">
        <v>46235</v>
      </c>
      <c r="I298" s="32">
        <v>46266</v>
      </c>
      <c r="J298" s="1">
        <v>8</v>
      </c>
      <c r="K298" s="4">
        <v>500</v>
      </c>
      <c r="L298" s="4" t="s">
        <v>122</v>
      </c>
      <c r="M298" s="4" t="s">
        <v>123</v>
      </c>
      <c r="N298" s="6">
        <v>46235</v>
      </c>
      <c r="O298" s="1"/>
      <c r="P298" s="4">
        <v>0</v>
      </c>
      <c r="Q298" s="4">
        <v>0</v>
      </c>
      <c r="R298" s="4">
        <f>IF(
    OR(Dashboard_Query[[#This Row],[Monthly Allowance]]="",Dashboard_Query[[#This Row],[Current Usage]]=""),
    "",
    MAX(0,Dashboard_Query[[#This Row],[Monthly Allowance]]-Dashboard_Query[[#This Row],[Current Usage]])
)</f>
        <v>500</v>
      </c>
      <c r="S298" s="9">
        <f>IF(OR(Dashboard_Query[[#This Row],[Monthly Allowance]]="",Dashboard_Query[[#This Row],[Current Usage]]=""),"",Dashboard_Query[[#This Row],[Current Usage]]/Dashboard_Query[[#This Row],[Monthly Allowance]])</f>
        <v>0</v>
      </c>
      <c r="T298" s="9">
        <f>IF(Dashboard_Query[[#This Row],[% Used]]="","",1-Dashboard_Query[[#This Row],[% Used]])</f>
        <v>1</v>
      </c>
      <c r="U298" s="4">
        <f>IF(OR(Dashboard_Query[[#This Row],[Monthly Allowance]]="",Dashboard_Query[[#This Row],[Current Usage]]=""),"",MAX(0,Dashboard_Query[[#This Row],[Current Usage]]-Dashboard_Query[[#This Row],[Monthly Allowance]]))</f>
        <v>0</v>
      </c>
      <c r="V298" s="4" t="str">
        <f>IF(Dashboard_Query[[#This Row],[Monthly Allowance]]="","",IF(Dashboard_Query[[#This Row],[Overage]]&gt;0,"OVER",IF(Dashboard_Query[[#This Row],[% Used]]&gt;=0.8,"WARNING","OK")))</f>
        <v>OK</v>
      </c>
    </row>
    <row r="299" spans="1:22">
      <c r="A299" s="4" t="s">
        <v>342</v>
      </c>
      <c r="B299" s="4">
        <v>812829</v>
      </c>
      <c r="C299" s="4" t="s">
        <v>186</v>
      </c>
      <c r="D299" s="4" t="s">
        <v>187</v>
      </c>
      <c r="E299" s="4" t="s">
        <v>188</v>
      </c>
      <c r="F299" s="4">
        <v>211121633</v>
      </c>
      <c r="G299" s="6">
        <v>46237</v>
      </c>
      <c r="H299" s="6">
        <v>46237</v>
      </c>
      <c r="I299" s="32">
        <v>46268</v>
      </c>
      <c r="J299" s="1">
        <v>10</v>
      </c>
      <c r="K299" s="4">
        <v>500</v>
      </c>
      <c r="L299" s="4" t="s">
        <v>122</v>
      </c>
      <c r="M299" s="4" t="s">
        <v>123</v>
      </c>
      <c r="N299" s="6">
        <v>46237</v>
      </c>
      <c r="O299" s="1"/>
      <c r="P299" s="4">
        <v>0</v>
      </c>
      <c r="Q299" s="4">
        <v>0</v>
      </c>
      <c r="R299" s="4">
        <f>IF(
    OR(Dashboard_Query[[#This Row],[Monthly Allowance]]="",Dashboard_Query[[#This Row],[Current Usage]]=""),
    "",
    MAX(0,Dashboard_Query[[#This Row],[Monthly Allowance]]-Dashboard_Query[[#This Row],[Current Usage]])
)</f>
        <v>500</v>
      </c>
      <c r="S299" s="9">
        <f>IF(OR(Dashboard_Query[[#This Row],[Monthly Allowance]]="",Dashboard_Query[[#This Row],[Current Usage]]=""),"",Dashboard_Query[[#This Row],[Current Usage]]/Dashboard_Query[[#This Row],[Monthly Allowance]])</f>
        <v>0</v>
      </c>
      <c r="T299" s="9">
        <f>IF(Dashboard_Query[[#This Row],[% Used]]="","",1-Dashboard_Query[[#This Row],[% Used]])</f>
        <v>1</v>
      </c>
      <c r="U299" s="4">
        <f>IF(OR(Dashboard_Query[[#This Row],[Monthly Allowance]]="",Dashboard_Query[[#This Row],[Current Usage]]=""),"",MAX(0,Dashboard_Query[[#This Row],[Current Usage]]-Dashboard_Query[[#This Row],[Monthly Allowance]]))</f>
        <v>0</v>
      </c>
      <c r="V299" s="4" t="str">
        <f>IF(Dashboard_Query[[#This Row],[Monthly Allowance]]="","",IF(Dashboard_Query[[#This Row],[Overage]]&gt;0,"OVER",IF(Dashboard_Query[[#This Row],[% Used]]&gt;=0.8,"WARNING","OK")))</f>
        <v>OK</v>
      </c>
    </row>
    <row r="300" spans="1:22">
      <c r="A300" s="4" t="s">
        <v>340</v>
      </c>
      <c r="B300" s="4">
        <v>812835</v>
      </c>
      <c r="C300" s="4" t="s">
        <v>472</v>
      </c>
      <c r="D300" s="4" t="s">
        <v>393</v>
      </c>
      <c r="E300" s="4" t="s">
        <v>128</v>
      </c>
      <c r="F300" s="4">
        <v>211122084</v>
      </c>
      <c r="G300" s="6">
        <v>46248</v>
      </c>
      <c r="H300" s="6">
        <v>46248</v>
      </c>
      <c r="I300" s="32">
        <v>46279</v>
      </c>
      <c r="J300" s="1">
        <v>21</v>
      </c>
      <c r="K300" s="4">
        <v>500</v>
      </c>
      <c r="L300" s="4" t="s">
        <v>122</v>
      </c>
      <c r="M300" s="4" t="s">
        <v>123</v>
      </c>
      <c r="N300" s="6">
        <v>46248</v>
      </c>
      <c r="O300" s="1"/>
      <c r="P300" s="4">
        <v>0</v>
      </c>
      <c r="Q300" s="4">
        <v>0</v>
      </c>
      <c r="R300" s="4">
        <f>IF(
    OR(Dashboard_Query[[#This Row],[Monthly Allowance]]="",Dashboard_Query[[#This Row],[Current Usage]]=""),
    "",
    MAX(0,Dashboard_Query[[#This Row],[Monthly Allowance]]-Dashboard_Query[[#This Row],[Current Usage]])
)</f>
        <v>500</v>
      </c>
      <c r="S300" s="9">
        <f>IF(OR(Dashboard_Query[[#This Row],[Monthly Allowance]]="",Dashboard_Query[[#This Row],[Current Usage]]=""),"",Dashboard_Query[[#This Row],[Current Usage]]/Dashboard_Query[[#This Row],[Monthly Allowance]])</f>
        <v>0</v>
      </c>
      <c r="T300" s="9">
        <f>IF(Dashboard_Query[[#This Row],[% Used]]="","",1-Dashboard_Query[[#This Row],[% Used]])</f>
        <v>1</v>
      </c>
      <c r="U300" s="4">
        <f>IF(OR(Dashboard_Query[[#This Row],[Monthly Allowance]]="",Dashboard_Query[[#This Row],[Current Usage]]=""),"",MAX(0,Dashboard_Query[[#This Row],[Current Usage]]-Dashboard_Query[[#This Row],[Monthly Allowance]]))</f>
        <v>0</v>
      </c>
      <c r="V300" s="4" t="str">
        <f>IF(Dashboard_Query[[#This Row],[Monthly Allowance]]="","",IF(Dashboard_Query[[#This Row],[Overage]]&gt;0,"OVER",IF(Dashboard_Query[[#This Row],[% Used]]&gt;=0.8,"WARNING","OK")))</f>
        <v>OK</v>
      </c>
    </row>
    <row r="301" spans="1:22">
      <c r="A301" s="4" t="s">
        <v>363</v>
      </c>
      <c r="B301" s="4">
        <v>814477</v>
      </c>
      <c r="C301" s="4" t="s">
        <v>186</v>
      </c>
      <c r="D301" s="4" t="s">
        <v>187</v>
      </c>
      <c r="E301" s="4" t="s">
        <v>188</v>
      </c>
      <c r="F301" s="4">
        <v>211121633</v>
      </c>
      <c r="G301" s="6">
        <v>46237</v>
      </c>
      <c r="H301" s="6">
        <v>46237</v>
      </c>
      <c r="I301" s="32">
        <v>46268</v>
      </c>
      <c r="J301" s="1">
        <v>10</v>
      </c>
      <c r="K301" s="4">
        <v>500</v>
      </c>
      <c r="L301" s="4" t="s">
        <v>122</v>
      </c>
      <c r="M301" s="4" t="s">
        <v>123</v>
      </c>
      <c r="N301" s="6">
        <v>46237</v>
      </c>
      <c r="O301" s="1"/>
      <c r="P301" s="4">
        <v>0</v>
      </c>
      <c r="Q301" s="4">
        <v>0</v>
      </c>
      <c r="R301" s="4">
        <f>IF(
    OR(Dashboard_Query[[#This Row],[Monthly Allowance]]="",Dashboard_Query[[#This Row],[Current Usage]]=""),
    "",
    MAX(0,Dashboard_Query[[#This Row],[Monthly Allowance]]-Dashboard_Query[[#This Row],[Current Usage]])
)</f>
        <v>500</v>
      </c>
      <c r="S301" s="9">
        <f>IF(OR(Dashboard_Query[[#This Row],[Monthly Allowance]]="",Dashboard_Query[[#This Row],[Current Usage]]=""),"",Dashboard_Query[[#This Row],[Current Usage]]/Dashboard_Query[[#This Row],[Monthly Allowance]])</f>
        <v>0</v>
      </c>
      <c r="T301" s="9">
        <f>IF(Dashboard_Query[[#This Row],[% Used]]="","",1-Dashboard_Query[[#This Row],[% Used]])</f>
        <v>1</v>
      </c>
      <c r="U301" s="4">
        <f>IF(OR(Dashboard_Query[[#This Row],[Monthly Allowance]]="",Dashboard_Query[[#This Row],[Current Usage]]=""),"",MAX(0,Dashboard_Query[[#This Row],[Current Usage]]-Dashboard_Query[[#This Row],[Monthly Allowance]]))</f>
        <v>0</v>
      </c>
      <c r="V301" s="4" t="str">
        <f>IF(Dashboard_Query[[#This Row],[Monthly Allowance]]="","",IF(Dashboard_Query[[#This Row],[Overage]]&gt;0,"OVER",IF(Dashboard_Query[[#This Row],[% Used]]&gt;=0.8,"WARNING","OK")))</f>
        <v>OK</v>
      </c>
    </row>
    <row r="302" spans="1:22">
      <c r="A302" s="4" t="s">
        <v>299</v>
      </c>
      <c r="B302" s="4">
        <v>814464</v>
      </c>
      <c r="C302" s="4" t="s">
        <v>472</v>
      </c>
      <c r="D302" s="4" t="s">
        <v>393</v>
      </c>
      <c r="E302" s="4" t="s">
        <v>128</v>
      </c>
      <c r="F302" s="4">
        <v>211122084</v>
      </c>
      <c r="G302" s="6">
        <v>46248</v>
      </c>
      <c r="H302" s="6">
        <v>46248</v>
      </c>
      <c r="I302" s="32">
        <v>46279</v>
      </c>
      <c r="J302" s="1">
        <v>21</v>
      </c>
      <c r="K302" s="4">
        <v>500</v>
      </c>
      <c r="L302" s="4" t="s">
        <v>122</v>
      </c>
      <c r="M302" s="4" t="s">
        <v>123</v>
      </c>
      <c r="N302" s="6">
        <v>46248</v>
      </c>
      <c r="O302" s="1"/>
      <c r="P302" s="4">
        <v>0</v>
      </c>
      <c r="Q302" s="4">
        <v>0</v>
      </c>
      <c r="R302" s="4">
        <f>IF(
    OR(Dashboard_Query[[#This Row],[Monthly Allowance]]="",Dashboard_Query[[#This Row],[Current Usage]]=""),
    "",
    MAX(0,Dashboard_Query[[#This Row],[Monthly Allowance]]-Dashboard_Query[[#This Row],[Current Usage]])
)</f>
        <v>500</v>
      </c>
      <c r="S302" s="9">
        <f>IF(OR(Dashboard_Query[[#This Row],[Monthly Allowance]]="",Dashboard_Query[[#This Row],[Current Usage]]=""),"",Dashboard_Query[[#This Row],[Current Usage]]/Dashboard_Query[[#This Row],[Monthly Allowance]])</f>
        <v>0</v>
      </c>
      <c r="T302" s="9">
        <f>IF(Dashboard_Query[[#This Row],[% Used]]="","",1-Dashboard_Query[[#This Row],[% Used]])</f>
        <v>1</v>
      </c>
      <c r="U302" s="4">
        <f>IF(OR(Dashboard_Query[[#This Row],[Monthly Allowance]]="",Dashboard_Query[[#This Row],[Current Usage]]=""),"",MAX(0,Dashboard_Query[[#This Row],[Current Usage]]-Dashboard_Query[[#This Row],[Monthly Allowance]]))</f>
        <v>0</v>
      </c>
      <c r="V302" s="4" t="str">
        <f>IF(Dashboard_Query[[#This Row],[Monthly Allowance]]="","",IF(Dashboard_Query[[#This Row],[Overage]]&gt;0,"OVER",IF(Dashboard_Query[[#This Row],[% Used]]&gt;=0.8,"WARNING","OK")))</f>
        <v>OK</v>
      </c>
    </row>
    <row r="303" spans="1:22">
      <c r="A303" s="4" t="s">
        <v>371</v>
      </c>
      <c r="B303" s="4">
        <v>814450</v>
      </c>
      <c r="C303" s="4" t="s">
        <v>186</v>
      </c>
      <c r="D303" s="4" t="s">
        <v>187</v>
      </c>
      <c r="E303" s="4" t="s">
        <v>188</v>
      </c>
      <c r="F303" s="4">
        <v>211121633</v>
      </c>
      <c r="G303" s="6">
        <v>46237</v>
      </c>
      <c r="H303" s="6">
        <v>46237</v>
      </c>
      <c r="I303" s="32">
        <v>46268</v>
      </c>
      <c r="J303" s="1">
        <v>10</v>
      </c>
      <c r="K303" s="4">
        <v>500</v>
      </c>
      <c r="L303" s="4" t="s">
        <v>122</v>
      </c>
      <c r="M303" s="4" t="s">
        <v>123</v>
      </c>
      <c r="N303" s="6">
        <v>46237</v>
      </c>
      <c r="O303" s="1"/>
      <c r="P303" s="4">
        <v>0</v>
      </c>
      <c r="Q303" s="4">
        <v>0</v>
      </c>
      <c r="R303" s="4">
        <f>IF(
    OR(Dashboard_Query[[#This Row],[Monthly Allowance]]="",Dashboard_Query[[#This Row],[Current Usage]]=""),
    "",
    MAX(0,Dashboard_Query[[#This Row],[Monthly Allowance]]-Dashboard_Query[[#This Row],[Current Usage]])
)</f>
        <v>500</v>
      </c>
      <c r="S303" s="9">
        <f>IF(OR(Dashboard_Query[[#This Row],[Monthly Allowance]]="",Dashboard_Query[[#This Row],[Current Usage]]=""),"",Dashboard_Query[[#This Row],[Current Usage]]/Dashboard_Query[[#This Row],[Monthly Allowance]])</f>
        <v>0</v>
      </c>
      <c r="T303" s="9">
        <f>IF(Dashboard_Query[[#This Row],[% Used]]="","",1-Dashboard_Query[[#This Row],[% Used]])</f>
        <v>1</v>
      </c>
      <c r="U303" s="4">
        <f>IF(OR(Dashboard_Query[[#This Row],[Monthly Allowance]]="",Dashboard_Query[[#This Row],[Current Usage]]=""),"",MAX(0,Dashboard_Query[[#This Row],[Current Usage]]-Dashboard_Query[[#This Row],[Monthly Allowance]]))</f>
        <v>0</v>
      </c>
      <c r="V303" s="4" t="str">
        <f>IF(Dashboard_Query[[#This Row],[Monthly Allowance]]="","",IF(Dashboard_Query[[#This Row],[Overage]]&gt;0,"OVER",IF(Dashboard_Query[[#This Row],[% Used]]&gt;=0.8,"WARNING","OK")))</f>
        <v>OK</v>
      </c>
    </row>
    <row r="304" spans="1:22">
      <c r="A304" s="4" t="s">
        <v>350</v>
      </c>
      <c r="B304" s="4">
        <v>812784</v>
      </c>
      <c r="C304" s="4" t="s">
        <v>351</v>
      </c>
      <c r="D304" s="4" t="s">
        <v>338</v>
      </c>
      <c r="E304" s="4" t="s">
        <v>339</v>
      </c>
      <c r="F304" s="4">
        <v>211120836</v>
      </c>
      <c r="G304" s="6">
        <v>46210</v>
      </c>
      <c r="H304" s="6">
        <v>46241</v>
      </c>
      <c r="I304" s="32">
        <v>46272</v>
      </c>
      <c r="J304" s="1">
        <v>14</v>
      </c>
      <c r="K304" s="4">
        <v>500</v>
      </c>
      <c r="L304" s="4" t="s">
        <v>122</v>
      </c>
      <c r="M304" s="4" t="s">
        <v>123</v>
      </c>
      <c r="N304" s="6">
        <v>46241</v>
      </c>
      <c r="O304" s="1"/>
      <c r="P304" s="4">
        <v>14.37</v>
      </c>
      <c r="Q304" s="4">
        <v>0</v>
      </c>
      <c r="R304" s="4">
        <f>IF(
    OR(Dashboard_Query[[#This Row],[Monthly Allowance]]="",Dashboard_Query[[#This Row],[Current Usage]]=""),
    "",
    MAX(0,Dashboard_Query[[#This Row],[Monthly Allowance]]-Dashboard_Query[[#This Row],[Current Usage]])
)</f>
        <v>500</v>
      </c>
      <c r="S304" s="9">
        <f>IF(OR(Dashboard_Query[[#This Row],[Monthly Allowance]]="",Dashboard_Query[[#This Row],[Current Usage]]=""),"",Dashboard_Query[[#This Row],[Current Usage]]/Dashboard_Query[[#This Row],[Monthly Allowance]])</f>
        <v>0</v>
      </c>
      <c r="T304" s="9">
        <f>IF(Dashboard_Query[[#This Row],[% Used]]="","",1-Dashboard_Query[[#This Row],[% Used]])</f>
        <v>1</v>
      </c>
      <c r="U304" s="4">
        <f>IF(OR(Dashboard_Query[[#This Row],[Monthly Allowance]]="",Dashboard_Query[[#This Row],[Current Usage]]=""),"",MAX(0,Dashboard_Query[[#This Row],[Current Usage]]-Dashboard_Query[[#This Row],[Monthly Allowance]]))</f>
        <v>0</v>
      </c>
      <c r="V304" s="4" t="str">
        <f>IF(Dashboard_Query[[#This Row],[Monthly Allowance]]="","",IF(Dashboard_Query[[#This Row],[Overage]]&gt;0,"OVER",IF(Dashboard_Query[[#This Row],[% Used]]&gt;=0.8,"WARNING","OK")))</f>
        <v>OK</v>
      </c>
    </row>
    <row r="305" spans="1:22">
      <c r="A305" s="4" t="s">
        <v>372</v>
      </c>
      <c r="B305" s="4">
        <v>814430</v>
      </c>
      <c r="C305" s="4" t="s">
        <v>186</v>
      </c>
      <c r="D305" s="4" t="s">
        <v>187</v>
      </c>
      <c r="E305" s="4" t="s">
        <v>188</v>
      </c>
      <c r="F305" s="4">
        <v>211121633</v>
      </c>
      <c r="G305" s="6">
        <v>46237</v>
      </c>
      <c r="H305" s="6">
        <v>46237</v>
      </c>
      <c r="I305" s="32">
        <v>46268</v>
      </c>
      <c r="J305" s="1">
        <v>10</v>
      </c>
      <c r="K305" s="4">
        <v>500</v>
      </c>
      <c r="L305" s="4" t="s">
        <v>122</v>
      </c>
      <c r="M305" s="4" t="s">
        <v>123</v>
      </c>
      <c r="N305" s="6">
        <v>46237</v>
      </c>
      <c r="O305" s="1"/>
      <c r="P305" s="4">
        <v>0</v>
      </c>
      <c r="Q305" s="4">
        <v>0</v>
      </c>
      <c r="R305" s="4">
        <f>IF(
    OR(Dashboard_Query[[#This Row],[Monthly Allowance]]="",Dashboard_Query[[#This Row],[Current Usage]]=""),
    "",
    MAX(0,Dashboard_Query[[#This Row],[Monthly Allowance]]-Dashboard_Query[[#This Row],[Current Usage]])
)</f>
        <v>500</v>
      </c>
      <c r="S305" s="9">
        <f>IF(OR(Dashboard_Query[[#This Row],[Monthly Allowance]]="",Dashboard_Query[[#This Row],[Current Usage]]=""),"",Dashboard_Query[[#This Row],[Current Usage]]/Dashboard_Query[[#This Row],[Monthly Allowance]])</f>
        <v>0</v>
      </c>
      <c r="T305" s="9">
        <f>IF(Dashboard_Query[[#This Row],[% Used]]="","",1-Dashboard_Query[[#This Row],[% Used]])</f>
        <v>1</v>
      </c>
      <c r="U305" s="4">
        <f>IF(OR(Dashboard_Query[[#This Row],[Monthly Allowance]]="",Dashboard_Query[[#This Row],[Current Usage]]=""),"",MAX(0,Dashboard_Query[[#This Row],[Current Usage]]-Dashboard_Query[[#This Row],[Monthly Allowance]]))</f>
        <v>0</v>
      </c>
      <c r="V305" s="4" t="str">
        <f>IF(Dashboard_Query[[#This Row],[Monthly Allowance]]="","",IF(Dashboard_Query[[#This Row],[Overage]]&gt;0,"OVER",IF(Dashboard_Query[[#This Row],[% Used]]&gt;=0.8,"WARNING","OK")))</f>
        <v>OK</v>
      </c>
    </row>
    <row r="306" spans="1:22">
      <c r="A306" s="4" t="s">
        <v>348</v>
      </c>
      <c r="B306" s="4">
        <v>814488</v>
      </c>
      <c r="C306" s="4" t="s">
        <v>186</v>
      </c>
      <c r="D306" s="4" t="s">
        <v>187</v>
      </c>
      <c r="E306" s="4" t="s">
        <v>188</v>
      </c>
      <c r="F306" s="4">
        <v>211121633</v>
      </c>
      <c r="G306" s="6">
        <v>46237</v>
      </c>
      <c r="H306" s="6">
        <v>46237</v>
      </c>
      <c r="I306" s="32">
        <v>46268</v>
      </c>
      <c r="J306" s="1">
        <v>10</v>
      </c>
      <c r="K306" s="4">
        <v>500</v>
      </c>
      <c r="L306" s="4" t="s">
        <v>122</v>
      </c>
      <c r="M306" s="4" t="s">
        <v>123</v>
      </c>
      <c r="N306" s="6">
        <v>46237</v>
      </c>
      <c r="O306" s="1"/>
      <c r="P306" s="4">
        <v>0</v>
      </c>
      <c r="Q306" s="4">
        <v>0</v>
      </c>
      <c r="R306" s="4">
        <f>IF(
    OR(Dashboard_Query[[#This Row],[Monthly Allowance]]="",Dashboard_Query[[#This Row],[Current Usage]]=""),
    "",
    MAX(0,Dashboard_Query[[#This Row],[Monthly Allowance]]-Dashboard_Query[[#This Row],[Current Usage]])
)</f>
        <v>500</v>
      </c>
      <c r="S306" s="9">
        <f>IF(OR(Dashboard_Query[[#This Row],[Monthly Allowance]]="",Dashboard_Query[[#This Row],[Current Usage]]=""),"",Dashboard_Query[[#This Row],[Current Usage]]/Dashboard_Query[[#This Row],[Monthly Allowance]])</f>
        <v>0</v>
      </c>
      <c r="T306" s="9">
        <f>IF(Dashboard_Query[[#This Row],[% Used]]="","",1-Dashboard_Query[[#This Row],[% Used]])</f>
        <v>1</v>
      </c>
      <c r="U306" s="4">
        <f>IF(OR(Dashboard_Query[[#This Row],[Monthly Allowance]]="",Dashboard_Query[[#This Row],[Current Usage]]=""),"",MAX(0,Dashboard_Query[[#This Row],[Current Usage]]-Dashboard_Query[[#This Row],[Monthly Allowance]]))</f>
        <v>0</v>
      </c>
      <c r="V306" s="4" t="str">
        <f>IF(Dashboard_Query[[#This Row],[Monthly Allowance]]="","",IF(Dashboard_Query[[#This Row],[Overage]]&gt;0,"OVER",IF(Dashboard_Query[[#This Row],[% Used]]&gt;=0.8,"WARNING","OK")))</f>
        <v>OK</v>
      </c>
    </row>
    <row r="307" spans="1:22">
      <c r="A307" s="4" t="s">
        <v>353</v>
      </c>
      <c r="B307" s="4">
        <v>809876</v>
      </c>
      <c r="C307" s="4" t="s">
        <v>354</v>
      </c>
      <c r="D307" s="4" t="s">
        <v>338</v>
      </c>
      <c r="E307" s="4" t="s">
        <v>339</v>
      </c>
      <c r="F307" s="4">
        <v>211120839</v>
      </c>
      <c r="G307" s="6">
        <v>46210</v>
      </c>
      <c r="H307" s="6">
        <v>46241</v>
      </c>
      <c r="I307" s="32">
        <v>46272</v>
      </c>
      <c r="J307" s="1">
        <v>14</v>
      </c>
      <c r="K307" s="4">
        <v>500</v>
      </c>
      <c r="L307" s="4" t="s">
        <v>122</v>
      </c>
      <c r="M307" s="4" t="s">
        <v>123</v>
      </c>
      <c r="N307" s="6">
        <v>46241</v>
      </c>
      <c r="O307" s="1"/>
      <c r="P307" s="4">
        <v>0</v>
      </c>
      <c r="Q307" s="4">
        <v>0</v>
      </c>
      <c r="R307" s="4">
        <f>IF(
    OR(Dashboard_Query[[#This Row],[Monthly Allowance]]="",Dashboard_Query[[#This Row],[Current Usage]]=""),
    "",
    MAX(0,Dashboard_Query[[#This Row],[Monthly Allowance]]-Dashboard_Query[[#This Row],[Current Usage]])
)</f>
        <v>500</v>
      </c>
      <c r="S307" s="9">
        <f>IF(OR(Dashboard_Query[[#This Row],[Monthly Allowance]]="",Dashboard_Query[[#This Row],[Current Usage]]=""),"",Dashboard_Query[[#This Row],[Current Usage]]/Dashboard_Query[[#This Row],[Monthly Allowance]])</f>
        <v>0</v>
      </c>
      <c r="T307" s="9">
        <f>IF(Dashboard_Query[[#This Row],[% Used]]="","",1-Dashboard_Query[[#This Row],[% Used]])</f>
        <v>1</v>
      </c>
      <c r="U307" s="4">
        <f>IF(OR(Dashboard_Query[[#This Row],[Monthly Allowance]]="",Dashboard_Query[[#This Row],[Current Usage]]=""),"",MAX(0,Dashboard_Query[[#This Row],[Current Usage]]-Dashboard_Query[[#This Row],[Monthly Allowance]]))</f>
        <v>0</v>
      </c>
      <c r="V307" s="4" t="str">
        <f>IF(Dashboard_Query[[#This Row],[Monthly Allowance]]="","",IF(Dashboard_Query[[#This Row],[Overage]]&gt;0,"OVER",IF(Dashboard_Query[[#This Row],[% Used]]&gt;=0.8,"WARNING","OK")))</f>
        <v>OK</v>
      </c>
    </row>
    <row r="308" spans="1:22">
      <c r="A308" s="4" t="s">
        <v>375</v>
      </c>
      <c r="B308" s="4">
        <v>814487</v>
      </c>
      <c r="C308" s="4" t="s">
        <v>186</v>
      </c>
      <c r="D308" s="4" t="s">
        <v>187</v>
      </c>
      <c r="E308" s="4" t="s">
        <v>188</v>
      </c>
      <c r="F308" s="4">
        <v>211121633</v>
      </c>
      <c r="G308" s="6">
        <v>46237</v>
      </c>
      <c r="H308" s="6">
        <v>46237</v>
      </c>
      <c r="I308" s="32">
        <v>46268</v>
      </c>
      <c r="J308" s="1">
        <v>10</v>
      </c>
      <c r="K308" s="4">
        <v>500</v>
      </c>
      <c r="L308" s="4" t="s">
        <v>122</v>
      </c>
      <c r="M308" s="4" t="s">
        <v>123</v>
      </c>
      <c r="N308" s="6">
        <v>46237</v>
      </c>
      <c r="O308" s="1"/>
      <c r="P308" s="4">
        <v>0</v>
      </c>
      <c r="Q308" s="4">
        <v>0</v>
      </c>
      <c r="R308" s="4">
        <f>IF(
    OR(Dashboard_Query[[#This Row],[Monthly Allowance]]="",Dashboard_Query[[#This Row],[Current Usage]]=""),
    "",
    MAX(0,Dashboard_Query[[#This Row],[Monthly Allowance]]-Dashboard_Query[[#This Row],[Current Usage]])
)</f>
        <v>500</v>
      </c>
      <c r="S308" s="9">
        <f>IF(OR(Dashboard_Query[[#This Row],[Monthly Allowance]]="",Dashboard_Query[[#This Row],[Current Usage]]=""),"",Dashboard_Query[[#This Row],[Current Usage]]/Dashboard_Query[[#This Row],[Monthly Allowance]])</f>
        <v>0</v>
      </c>
      <c r="T308" s="9">
        <f>IF(Dashboard_Query[[#This Row],[% Used]]="","",1-Dashboard_Query[[#This Row],[% Used]])</f>
        <v>1</v>
      </c>
      <c r="U308" s="4">
        <f>IF(OR(Dashboard_Query[[#This Row],[Monthly Allowance]]="",Dashboard_Query[[#This Row],[Current Usage]]=""),"",MAX(0,Dashboard_Query[[#This Row],[Current Usage]]-Dashboard_Query[[#This Row],[Monthly Allowance]]))</f>
        <v>0</v>
      </c>
      <c r="V308" s="4" t="str">
        <f>IF(Dashboard_Query[[#This Row],[Monthly Allowance]]="","",IF(Dashboard_Query[[#This Row],[Overage]]&gt;0,"OVER",IF(Dashboard_Query[[#This Row],[% Used]]&gt;=0.8,"WARNING","OK")))</f>
        <v>OK</v>
      </c>
    </row>
    <row r="309" spans="1:22">
      <c r="A309" s="4" t="s">
        <v>362</v>
      </c>
      <c r="B309" s="4">
        <v>810645</v>
      </c>
      <c r="C309" s="4" t="s">
        <v>186</v>
      </c>
      <c r="D309" s="4" t="s">
        <v>187</v>
      </c>
      <c r="E309" s="4" t="s">
        <v>188</v>
      </c>
      <c r="F309" s="4">
        <v>211121633</v>
      </c>
      <c r="G309" s="6">
        <v>46237</v>
      </c>
      <c r="H309" s="6">
        <v>46237</v>
      </c>
      <c r="I309" s="32">
        <v>46268</v>
      </c>
      <c r="J309" s="1">
        <v>10</v>
      </c>
      <c r="K309" s="4">
        <v>500</v>
      </c>
      <c r="L309" s="4" t="s">
        <v>122</v>
      </c>
      <c r="M309" s="4" t="s">
        <v>123</v>
      </c>
      <c r="N309" s="6">
        <v>46237</v>
      </c>
      <c r="O309" s="1"/>
      <c r="P309" s="4">
        <v>0</v>
      </c>
      <c r="Q309" s="4">
        <v>0</v>
      </c>
      <c r="R309" s="4">
        <f>IF(
    OR(Dashboard_Query[[#This Row],[Monthly Allowance]]="",Dashboard_Query[[#This Row],[Current Usage]]=""),
    "",
    MAX(0,Dashboard_Query[[#This Row],[Monthly Allowance]]-Dashboard_Query[[#This Row],[Current Usage]])
)</f>
        <v>500</v>
      </c>
      <c r="S309" s="9">
        <f>IF(OR(Dashboard_Query[[#This Row],[Monthly Allowance]]="",Dashboard_Query[[#This Row],[Current Usage]]=""),"",Dashboard_Query[[#This Row],[Current Usage]]/Dashboard_Query[[#This Row],[Monthly Allowance]])</f>
        <v>0</v>
      </c>
      <c r="T309" s="9">
        <f>IF(Dashboard_Query[[#This Row],[% Used]]="","",1-Dashboard_Query[[#This Row],[% Used]])</f>
        <v>1</v>
      </c>
      <c r="U309" s="4">
        <f>IF(OR(Dashboard_Query[[#This Row],[Monthly Allowance]]="",Dashboard_Query[[#This Row],[Current Usage]]=""),"",MAX(0,Dashboard_Query[[#This Row],[Current Usage]]-Dashboard_Query[[#This Row],[Monthly Allowance]]))</f>
        <v>0</v>
      </c>
      <c r="V309" s="4" t="str">
        <f>IF(Dashboard_Query[[#This Row],[Monthly Allowance]]="","",IF(Dashboard_Query[[#This Row],[Overage]]&gt;0,"OVER",IF(Dashboard_Query[[#This Row],[% Used]]&gt;=0.8,"WARNING","OK")))</f>
        <v>OK</v>
      </c>
    </row>
    <row r="310" spans="1:22">
      <c r="A310" s="4" t="s">
        <v>365</v>
      </c>
      <c r="B310" s="4">
        <v>814493</v>
      </c>
      <c r="C310" s="4" t="s">
        <v>186</v>
      </c>
      <c r="D310" s="4" t="s">
        <v>187</v>
      </c>
      <c r="E310" s="4" t="s">
        <v>188</v>
      </c>
      <c r="F310" s="4">
        <v>211121633</v>
      </c>
      <c r="G310" s="6">
        <v>46237</v>
      </c>
      <c r="H310" s="6">
        <v>46237</v>
      </c>
      <c r="I310" s="32">
        <v>46268</v>
      </c>
      <c r="J310" s="1">
        <v>10</v>
      </c>
      <c r="K310" s="4">
        <v>1000</v>
      </c>
      <c r="L310" s="4" t="s">
        <v>122</v>
      </c>
      <c r="M310" s="4" t="s">
        <v>123</v>
      </c>
      <c r="N310" s="6">
        <v>46237</v>
      </c>
      <c r="O310" s="1"/>
      <c r="P310" s="4">
        <v>0</v>
      </c>
      <c r="Q310" s="4">
        <v>0</v>
      </c>
      <c r="R310" s="4">
        <f>IF(
    OR(Dashboard_Query[[#This Row],[Monthly Allowance]]="",Dashboard_Query[[#This Row],[Current Usage]]=""),
    "",
    MAX(0,Dashboard_Query[[#This Row],[Monthly Allowance]]-Dashboard_Query[[#This Row],[Current Usage]])
)</f>
        <v>1000</v>
      </c>
      <c r="S310" s="9">
        <f>IF(OR(Dashboard_Query[[#This Row],[Monthly Allowance]]="",Dashboard_Query[[#This Row],[Current Usage]]=""),"",Dashboard_Query[[#This Row],[Current Usage]]/Dashboard_Query[[#This Row],[Monthly Allowance]])</f>
        <v>0</v>
      </c>
      <c r="T310" s="9">
        <f>IF(Dashboard_Query[[#This Row],[% Used]]="","",1-Dashboard_Query[[#This Row],[% Used]])</f>
        <v>1</v>
      </c>
      <c r="U310" s="4">
        <f>IF(OR(Dashboard_Query[[#This Row],[Monthly Allowance]]="",Dashboard_Query[[#This Row],[Current Usage]]=""),"",MAX(0,Dashboard_Query[[#This Row],[Current Usage]]-Dashboard_Query[[#This Row],[Monthly Allowance]]))</f>
        <v>0</v>
      </c>
      <c r="V310" s="4" t="str">
        <f>IF(Dashboard_Query[[#This Row],[Monthly Allowance]]="","",IF(Dashboard_Query[[#This Row],[Overage]]&gt;0,"OVER",IF(Dashboard_Query[[#This Row],[% Used]]&gt;=0.8,"WARNING","OK")))</f>
        <v>OK</v>
      </c>
    </row>
    <row r="311" spans="1:22">
      <c r="A311" s="4" t="s">
        <v>360</v>
      </c>
      <c r="B311" s="4">
        <v>812841</v>
      </c>
      <c r="C311" s="4" t="s">
        <v>244</v>
      </c>
      <c r="D311" s="4" t="s">
        <v>245</v>
      </c>
      <c r="E311" s="4" t="s">
        <v>246</v>
      </c>
      <c r="F311" s="4">
        <v>211121204</v>
      </c>
      <c r="G311" s="6">
        <v>46224</v>
      </c>
      <c r="H311" s="6">
        <v>46255</v>
      </c>
      <c r="I311" s="32">
        <v>46286</v>
      </c>
      <c r="J311" s="1">
        <v>28</v>
      </c>
      <c r="K311" s="4">
        <v>500</v>
      </c>
      <c r="L311" s="4" t="s">
        <v>122</v>
      </c>
      <c r="M311" s="4" t="s">
        <v>123</v>
      </c>
      <c r="N311" s="6">
        <v>46255</v>
      </c>
      <c r="O311" s="1"/>
      <c r="P311" s="4">
        <v>0</v>
      </c>
      <c r="Q311" s="4">
        <v>0</v>
      </c>
      <c r="R311" s="4">
        <f>IF(
    OR(Dashboard_Query[[#This Row],[Monthly Allowance]]="",Dashboard_Query[[#This Row],[Current Usage]]=""),
    "",
    MAX(0,Dashboard_Query[[#This Row],[Monthly Allowance]]-Dashboard_Query[[#This Row],[Current Usage]])
)</f>
        <v>500</v>
      </c>
      <c r="S311" s="9">
        <f>IF(OR(Dashboard_Query[[#This Row],[Monthly Allowance]]="",Dashboard_Query[[#This Row],[Current Usage]]=""),"",Dashboard_Query[[#This Row],[Current Usage]]/Dashboard_Query[[#This Row],[Monthly Allowance]])</f>
        <v>0</v>
      </c>
      <c r="T311" s="9">
        <f>IF(Dashboard_Query[[#This Row],[% Used]]="","",1-Dashboard_Query[[#This Row],[% Used]])</f>
        <v>1</v>
      </c>
      <c r="U311" s="4">
        <f>IF(OR(Dashboard_Query[[#This Row],[Monthly Allowance]]="",Dashboard_Query[[#This Row],[Current Usage]]=""),"",MAX(0,Dashboard_Query[[#This Row],[Current Usage]]-Dashboard_Query[[#This Row],[Monthly Allowance]]))</f>
        <v>0</v>
      </c>
      <c r="V311" s="4" t="str">
        <f>IF(Dashboard_Query[[#This Row],[Monthly Allowance]]="","",IF(Dashboard_Query[[#This Row],[Overage]]&gt;0,"OVER",IF(Dashboard_Query[[#This Row],[% Used]]&gt;=0.8,"WARNING","OK")))</f>
        <v>OK</v>
      </c>
    </row>
    <row r="312" spans="1:22">
      <c r="A312" s="4" t="s">
        <v>366</v>
      </c>
      <c r="B312" s="4">
        <v>810105</v>
      </c>
      <c r="C312" s="4" t="s">
        <v>367</v>
      </c>
      <c r="D312" s="4" t="s">
        <v>368</v>
      </c>
      <c r="E312" s="4" t="s">
        <v>369</v>
      </c>
      <c r="F312" s="4">
        <v>211121141</v>
      </c>
      <c r="G312" s="6">
        <v>46221</v>
      </c>
      <c r="H312" s="6">
        <v>46252</v>
      </c>
      <c r="I312" s="32">
        <v>46283</v>
      </c>
      <c r="J312" s="1">
        <v>25</v>
      </c>
      <c r="K312" s="4">
        <v>500</v>
      </c>
      <c r="L312" s="4" t="s">
        <v>122</v>
      </c>
      <c r="M312" s="4" t="s">
        <v>123</v>
      </c>
      <c r="N312" s="6">
        <v>46252</v>
      </c>
      <c r="O312" s="1"/>
      <c r="P312" s="4">
        <v>0</v>
      </c>
      <c r="Q312" s="4">
        <v>0</v>
      </c>
      <c r="R312" s="4">
        <f>IF(
    OR(Dashboard_Query[[#This Row],[Monthly Allowance]]="",Dashboard_Query[[#This Row],[Current Usage]]=""),
    "",
    MAX(0,Dashboard_Query[[#This Row],[Monthly Allowance]]-Dashboard_Query[[#This Row],[Current Usage]])
)</f>
        <v>500</v>
      </c>
      <c r="S312" s="9">
        <f>IF(OR(Dashboard_Query[[#This Row],[Monthly Allowance]]="",Dashboard_Query[[#This Row],[Current Usage]]=""),"",Dashboard_Query[[#This Row],[Current Usage]]/Dashboard_Query[[#This Row],[Monthly Allowance]])</f>
        <v>0</v>
      </c>
      <c r="T312" s="9">
        <f>IF(Dashboard_Query[[#This Row],[% Used]]="","",1-Dashboard_Query[[#This Row],[% Used]])</f>
        <v>1</v>
      </c>
      <c r="U312" s="4">
        <f>IF(OR(Dashboard_Query[[#This Row],[Monthly Allowance]]="",Dashboard_Query[[#This Row],[Current Usage]]=""),"",MAX(0,Dashboard_Query[[#This Row],[Current Usage]]-Dashboard_Query[[#This Row],[Monthly Allowance]]))</f>
        <v>0</v>
      </c>
      <c r="V312" s="4" t="str">
        <f>IF(Dashboard_Query[[#This Row],[Monthly Allowance]]="","",IF(Dashboard_Query[[#This Row],[Overage]]&gt;0,"OVER",IF(Dashboard_Query[[#This Row],[% Used]]&gt;=0.8,"WARNING","OK")))</f>
        <v>OK</v>
      </c>
    </row>
    <row r="313" spans="1:22">
      <c r="A313" s="4" t="s">
        <v>370</v>
      </c>
      <c r="B313" s="4">
        <v>810649</v>
      </c>
      <c r="C313" s="4" t="s">
        <v>367</v>
      </c>
      <c r="D313" s="4" t="s">
        <v>368</v>
      </c>
      <c r="E313" s="4" t="s">
        <v>369</v>
      </c>
      <c r="F313" s="4">
        <v>211121141</v>
      </c>
      <c r="G313" s="6">
        <v>46221</v>
      </c>
      <c r="H313" s="6">
        <v>46252</v>
      </c>
      <c r="I313" s="32">
        <v>46283</v>
      </c>
      <c r="J313" s="1">
        <v>25</v>
      </c>
      <c r="K313" s="4">
        <v>500</v>
      </c>
      <c r="L313" s="4" t="s">
        <v>122</v>
      </c>
      <c r="M313" s="4" t="s">
        <v>123</v>
      </c>
      <c r="N313" s="6">
        <v>46252</v>
      </c>
      <c r="O313" s="1"/>
      <c r="P313" s="4">
        <v>0</v>
      </c>
      <c r="Q313" s="4">
        <v>0</v>
      </c>
      <c r="R313" s="4">
        <f>IF(
    OR(Dashboard_Query[[#This Row],[Monthly Allowance]]="",Dashboard_Query[[#This Row],[Current Usage]]=""),
    "",
    MAX(0,Dashboard_Query[[#This Row],[Monthly Allowance]]-Dashboard_Query[[#This Row],[Current Usage]])
)</f>
        <v>500</v>
      </c>
      <c r="S313" s="9">
        <f>IF(OR(Dashboard_Query[[#This Row],[Monthly Allowance]]="",Dashboard_Query[[#This Row],[Current Usage]]=""),"",Dashboard_Query[[#This Row],[Current Usage]]/Dashboard_Query[[#This Row],[Monthly Allowance]])</f>
        <v>0</v>
      </c>
      <c r="T313" s="9">
        <f>IF(Dashboard_Query[[#This Row],[% Used]]="","",1-Dashboard_Query[[#This Row],[% Used]])</f>
        <v>1</v>
      </c>
      <c r="U313" s="4">
        <f>IF(OR(Dashboard_Query[[#This Row],[Monthly Allowance]]="",Dashboard_Query[[#This Row],[Current Usage]]=""),"",MAX(0,Dashboard_Query[[#This Row],[Current Usage]]-Dashboard_Query[[#This Row],[Monthly Allowance]]))</f>
        <v>0</v>
      </c>
      <c r="V313" s="4" t="str">
        <f>IF(Dashboard_Query[[#This Row],[Monthly Allowance]]="","",IF(Dashboard_Query[[#This Row],[Overage]]&gt;0,"OVER",IF(Dashboard_Query[[#This Row],[% Used]]&gt;=0.8,"WARNING","OK")))</f>
        <v>OK</v>
      </c>
    </row>
    <row r="314" spans="1:22" hidden="1">
      <c r="A314" s="4" t="s">
        <v>97</v>
      </c>
      <c r="B314" s="4"/>
      <c r="C314" s="4"/>
      <c r="D314" s="4"/>
      <c r="E314" s="4"/>
      <c r="F314" s="4"/>
      <c r="G314" s="6"/>
      <c r="H314" s="6"/>
      <c r="I314" s="32"/>
      <c r="J314" s="1"/>
      <c r="K314" s="4">
        <v>500</v>
      </c>
      <c r="L314" s="4" t="s">
        <v>122</v>
      </c>
      <c r="M314" s="4" t="s">
        <v>35</v>
      </c>
      <c r="N314" s="6"/>
      <c r="O314" s="1"/>
      <c r="P314" s="4">
        <v>0</v>
      </c>
      <c r="Q314" s="4">
        <v>0</v>
      </c>
      <c r="R314" s="4">
        <f>IF(
    OR(Dashboard_Query[[#This Row],[Monthly Allowance]]="",Dashboard_Query[[#This Row],[Current Usage]]=""),
    "",
    MAX(0,Dashboard_Query[[#This Row],[Monthly Allowance]]-Dashboard_Query[[#This Row],[Current Usage]])
)</f>
        <v>500</v>
      </c>
      <c r="S314" s="9">
        <f>IF(OR(Dashboard_Query[[#This Row],[Monthly Allowance]]="",Dashboard_Query[[#This Row],[Current Usage]]=""),"",Dashboard_Query[[#This Row],[Current Usage]]/Dashboard_Query[[#This Row],[Monthly Allowance]])</f>
        <v>0</v>
      </c>
      <c r="T314" s="9">
        <f>IF(Dashboard_Query[[#This Row],[% Used]]="","",1-Dashboard_Query[[#This Row],[% Used]])</f>
        <v>1</v>
      </c>
      <c r="U314" s="4">
        <f>IF(OR(Dashboard_Query[[#This Row],[Monthly Allowance]]="",Dashboard_Query[[#This Row],[Current Usage]]=""),"",MAX(0,Dashboard_Query[[#This Row],[Current Usage]]-Dashboard_Query[[#This Row],[Monthly Allowance]]))</f>
        <v>0</v>
      </c>
      <c r="V314" s="4" t="str">
        <f>IF(Dashboard_Query[[#This Row],[Monthly Allowance]]="","",IF(Dashboard_Query[[#This Row],[Overage]]&gt;0,"OVER",IF(Dashboard_Query[[#This Row],[% Used]]&gt;=0.8,"WARNING","OK")))</f>
        <v>OK</v>
      </c>
    </row>
    <row r="315" spans="1:22">
      <c r="A315" s="4" t="s">
        <v>364</v>
      </c>
      <c r="B315" s="4">
        <v>814466</v>
      </c>
      <c r="C315" s="4" t="s">
        <v>244</v>
      </c>
      <c r="D315" s="4" t="s">
        <v>245</v>
      </c>
      <c r="E315" s="4" t="s">
        <v>246</v>
      </c>
      <c r="F315" s="4">
        <v>211121204</v>
      </c>
      <c r="G315" s="6">
        <v>46224</v>
      </c>
      <c r="H315" s="6">
        <v>46255</v>
      </c>
      <c r="I315" s="32">
        <v>46286</v>
      </c>
      <c r="J315" s="1">
        <v>28</v>
      </c>
      <c r="K315" s="4">
        <v>500</v>
      </c>
      <c r="L315" s="4" t="s">
        <v>122</v>
      </c>
      <c r="M315" s="4" t="s">
        <v>123</v>
      </c>
      <c r="N315" s="6">
        <v>46255</v>
      </c>
      <c r="O315" s="1"/>
      <c r="P315" s="4">
        <v>0</v>
      </c>
      <c r="Q315" s="4">
        <v>0</v>
      </c>
      <c r="R315" s="4">
        <f>IF(
    OR(Dashboard_Query[[#This Row],[Monthly Allowance]]="",Dashboard_Query[[#This Row],[Current Usage]]=""),
    "",
    MAX(0,Dashboard_Query[[#This Row],[Monthly Allowance]]-Dashboard_Query[[#This Row],[Current Usage]])
)</f>
        <v>500</v>
      </c>
      <c r="S315" s="9">
        <f>IF(OR(Dashboard_Query[[#This Row],[Monthly Allowance]]="",Dashboard_Query[[#This Row],[Current Usage]]=""),"",Dashboard_Query[[#This Row],[Current Usage]]/Dashboard_Query[[#This Row],[Monthly Allowance]])</f>
        <v>0</v>
      </c>
      <c r="T315" s="9">
        <f>IF(Dashboard_Query[[#This Row],[% Used]]="","",1-Dashboard_Query[[#This Row],[% Used]])</f>
        <v>1</v>
      </c>
      <c r="U315" s="4">
        <f>IF(OR(Dashboard_Query[[#This Row],[Monthly Allowance]]="",Dashboard_Query[[#This Row],[Current Usage]]=""),"",MAX(0,Dashboard_Query[[#This Row],[Current Usage]]-Dashboard_Query[[#This Row],[Monthly Allowance]]))</f>
        <v>0</v>
      </c>
      <c r="V315" s="4" t="str">
        <f>IF(Dashboard_Query[[#This Row],[Monthly Allowance]]="","",IF(Dashboard_Query[[#This Row],[Overage]]&gt;0,"OVER",IF(Dashboard_Query[[#This Row],[% Used]]&gt;=0.8,"WARNING","OK")))</f>
        <v>OK</v>
      </c>
    </row>
    <row r="316" spans="1:22">
      <c r="A316" s="4" t="s">
        <v>373</v>
      </c>
      <c r="B316" s="4">
        <v>814444</v>
      </c>
      <c r="C316" s="4" t="s">
        <v>244</v>
      </c>
      <c r="D316" s="4" t="s">
        <v>245</v>
      </c>
      <c r="E316" s="4" t="s">
        <v>246</v>
      </c>
      <c r="F316" s="4">
        <v>211121204</v>
      </c>
      <c r="G316" s="6">
        <v>46224</v>
      </c>
      <c r="H316" s="6">
        <v>46255</v>
      </c>
      <c r="I316" s="32">
        <v>46286</v>
      </c>
      <c r="J316" s="1">
        <v>28</v>
      </c>
      <c r="K316" s="4">
        <v>500</v>
      </c>
      <c r="L316" s="4" t="s">
        <v>122</v>
      </c>
      <c r="M316" s="4" t="s">
        <v>123</v>
      </c>
      <c r="N316" s="6">
        <v>46255</v>
      </c>
      <c r="O316" s="1"/>
      <c r="P316" s="4">
        <v>0</v>
      </c>
      <c r="Q316" s="4">
        <v>0</v>
      </c>
      <c r="R316" s="4">
        <f>IF(
    OR(Dashboard_Query[[#This Row],[Monthly Allowance]]="",Dashboard_Query[[#This Row],[Current Usage]]=""),
    "",
    MAX(0,Dashboard_Query[[#This Row],[Monthly Allowance]]-Dashboard_Query[[#This Row],[Current Usage]])
)</f>
        <v>500</v>
      </c>
      <c r="S316" s="9">
        <f>IF(OR(Dashboard_Query[[#This Row],[Monthly Allowance]]="",Dashboard_Query[[#This Row],[Current Usage]]=""),"",Dashboard_Query[[#This Row],[Current Usage]]/Dashboard_Query[[#This Row],[Monthly Allowance]])</f>
        <v>0</v>
      </c>
      <c r="T316" s="9">
        <f>IF(Dashboard_Query[[#This Row],[% Used]]="","",1-Dashboard_Query[[#This Row],[% Used]])</f>
        <v>1</v>
      </c>
      <c r="U316" s="4">
        <f>IF(OR(Dashboard_Query[[#This Row],[Monthly Allowance]]="",Dashboard_Query[[#This Row],[Current Usage]]=""),"",MAX(0,Dashboard_Query[[#This Row],[Current Usage]]-Dashboard_Query[[#This Row],[Monthly Allowance]]))</f>
        <v>0</v>
      </c>
      <c r="V316" s="4" t="str">
        <f>IF(Dashboard_Query[[#This Row],[Monthly Allowance]]="","",IF(Dashboard_Query[[#This Row],[Overage]]&gt;0,"OVER",IF(Dashboard_Query[[#This Row],[% Used]]&gt;=0.8,"WARNING","OK")))</f>
        <v>OK</v>
      </c>
    </row>
    <row r="317" spans="1:22">
      <c r="A317" s="4" t="s">
        <v>376</v>
      </c>
      <c r="B317" s="4">
        <v>814448</v>
      </c>
      <c r="C317" s="4" t="s">
        <v>244</v>
      </c>
      <c r="D317" s="4" t="s">
        <v>245</v>
      </c>
      <c r="E317" s="4" t="s">
        <v>246</v>
      </c>
      <c r="F317" s="4">
        <v>211121204</v>
      </c>
      <c r="G317" s="6">
        <v>46224</v>
      </c>
      <c r="H317" s="6">
        <v>46255</v>
      </c>
      <c r="I317" s="32">
        <v>46286</v>
      </c>
      <c r="J317" s="1">
        <v>28</v>
      </c>
      <c r="K317" s="4">
        <v>500</v>
      </c>
      <c r="L317" s="4" t="s">
        <v>122</v>
      </c>
      <c r="M317" s="4" t="s">
        <v>123</v>
      </c>
      <c r="N317" s="6">
        <v>46255</v>
      </c>
      <c r="O317" s="1"/>
      <c r="P317" s="4">
        <v>0</v>
      </c>
      <c r="Q317" s="4">
        <v>0</v>
      </c>
      <c r="R317" s="4">
        <f>IF(
    OR(Dashboard_Query[[#This Row],[Monthly Allowance]]="",Dashboard_Query[[#This Row],[Current Usage]]=""),
    "",
    MAX(0,Dashboard_Query[[#This Row],[Monthly Allowance]]-Dashboard_Query[[#This Row],[Current Usage]])
)</f>
        <v>500</v>
      </c>
      <c r="S317" s="9">
        <f>IF(OR(Dashboard_Query[[#This Row],[Monthly Allowance]]="",Dashboard_Query[[#This Row],[Current Usage]]=""),"",Dashboard_Query[[#This Row],[Current Usage]]/Dashboard_Query[[#This Row],[Monthly Allowance]])</f>
        <v>0</v>
      </c>
      <c r="T317" s="9">
        <f>IF(Dashboard_Query[[#This Row],[% Used]]="","",1-Dashboard_Query[[#This Row],[% Used]])</f>
        <v>1</v>
      </c>
      <c r="U317" s="4">
        <f>IF(OR(Dashboard_Query[[#This Row],[Monthly Allowance]]="",Dashboard_Query[[#This Row],[Current Usage]]=""),"",MAX(0,Dashboard_Query[[#This Row],[Current Usage]]-Dashboard_Query[[#This Row],[Monthly Allowance]]))</f>
        <v>0</v>
      </c>
      <c r="V317" s="4" t="str">
        <f>IF(Dashboard_Query[[#This Row],[Monthly Allowance]]="","",IF(Dashboard_Query[[#This Row],[Overage]]&gt;0,"OVER",IF(Dashboard_Query[[#This Row],[% Used]]&gt;=0.8,"WARNING","OK")))</f>
        <v>OK</v>
      </c>
    </row>
    <row r="318" spans="1:22">
      <c r="A318" s="4" t="s">
        <v>349</v>
      </c>
      <c r="B318" s="4">
        <v>814455</v>
      </c>
      <c r="C318" s="4" t="s">
        <v>244</v>
      </c>
      <c r="D318" s="4" t="s">
        <v>245</v>
      </c>
      <c r="E318" s="4" t="s">
        <v>246</v>
      </c>
      <c r="F318" s="4">
        <v>211121204</v>
      </c>
      <c r="G318" s="6">
        <v>46224</v>
      </c>
      <c r="H318" s="6">
        <v>46255</v>
      </c>
      <c r="I318" s="32">
        <v>46286</v>
      </c>
      <c r="J318" s="1">
        <v>28</v>
      </c>
      <c r="K318" s="4">
        <v>500</v>
      </c>
      <c r="L318" s="4" t="s">
        <v>122</v>
      </c>
      <c r="M318" s="4" t="s">
        <v>123</v>
      </c>
      <c r="N318" s="6">
        <v>46255</v>
      </c>
      <c r="O318" s="1"/>
      <c r="P318" s="4">
        <v>9.14</v>
      </c>
      <c r="Q318" s="4">
        <v>0</v>
      </c>
      <c r="R318" s="4">
        <f>IF(
    OR(Dashboard_Query[[#This Row],[Monthly Allowance]]="",Dashboard_Query[[#This Row],[Current Usage]]=""),
    "",
    MAX(0,Dashboard_Query[[#This Row],[Monthly Allowance]]-Dashboard_Query[[#This Row],[Current Usage]])
)</f>
        <v>500</v>
      </c>
      <c r="S318" s="9">
        <f>IF(OR(Dashboard_Query[[#This Row],[Monthly Allowance]]="",Dashboard_Query[[#This Row],[Current Usage]]=""),"",Dashboard_Query[[#This Row],[Current Usage]]/Dashboard_Query[[#This Row],[Monthly Allowance]])</f>
        <v>0</v>
      </c>
      <c r="T318" s="9">
        <f>IF(Dashboard_Query[[#This Row],[% Used]]="","",1-Dashboard_Query[[#This Row],[% Used]])</f>
        <v>1</v>
      </c>
      <c r="U318" s="4">
        <f>IF(OR(Dashboard_Query[[#This Row],[Monthly Allowance]]="",Dashboard_Query[[#This Row],[Current Usage]]=""),"",MAX(0,Dashboard_Query[[#This Row],[Current Usage]]-Dashboard_Query[[#This Row],[Monthly Allowance]]))</f>
        <v>0</v>
      </c>
      <c r="V318" s="4" t="str">
        <f>IF(Dashboard_Query[[#This Row],[Monthly Allowance]]="","",IF(Dashboard_Query[[#This Row],[Overage]]&gt;0,"OVER",IF(Dashboard_Query[[#This Row],[% Used]]&gt;=0.8,"WARNING","OK")))</f>
        <v>OK</v>
      </c>
    </row>
    <row r="319" spans="1:22" hidden="1">
      <c r="A319" s="4" t="s">
        <v>434</v>
      </c>
      <c r="B319" s="4">
        <v>816383</v>
      </c>
      <c r="C319" s="4"/>
      <c r="D319" s="4"/>
      <c r="E319" s="4"/>
      <c r="F319" s="4"/>
      <c r="G319" s="6"/>
      <c r="H319" s="6"/>
      <c r="I319" s="32"/>
      <c r="J319" s="1"/>
      <c r="K319" s="4">
        <v>500</v>
      </c>
      <c r="L319" s="4" t="s">
        <v>122</v>
      </c>
      <c r="M319" s="4" t="s">
        <v>35</v>
      </c>
      <c r="N319" s="6"/>
      <c r="O319" s="1"/>
      <c r="P319" s="4">
        <v>0</v>
      </c>
      <c r="Q319" s="4">
        <v>0</v>
      </c>
      <c r="R319" s="4">
        <f>IF(
    OR(Dashboard_Query[[#This Row],[Monthly Allowance]]="",Dashboard_Query[[#This Row],[Current Usage]]=""),
    "",
    MAX(0,Dashboard_Query[[#This Row],[Monthly Allowance]]-Dashboard_Query[[#This Row],[Current Usage]])
)</f>
        <v>500</v>
      </c>
      <c r="S319" s="9">
        <f>IF(OR(Dashboard_Query[[#This Row],[Monthly Allowance]]="",Dashboard_Query[[#This Row],[Current Usage]]=""),"",Dashboard_Query[[#This Row],[Current Usage]]/Dashboard_Query[[#This Row],[Monthly Allowance]])</f>
        <v>0</v>
      </c>
      <c r="T319" s="9">
        <f>IF(Dashboard_Query[[#This Row],[% Used]]="","",1-Dashboard_Query[[#This Row],[% Used]])</f>
        <v>1</v>
      </c>
      <c r="U319" s="4">
        <f>IF(OR(Dashboard_Query[[#This Row],[Monthly Allowance]]="",Dashboard_Query[[#This Row],[Current Usage]]=""),"",MAX(0,Dashboard_Query[[#This Row],[Current Usage]]-Dashboard_Query[[#This Row],[Monthly Allowance]]))</f>
        <v>0</v>
      </c>
      <c r="V319" s="4" t="str">
        <f>IF(Dashboard_Query[[#This Row],[Monthly Allowance]]="","",IF(Dashboard_Query[[#This Row],[Overage]]&gt;0,"OVER",IF(Dashboard_Query[[#This Row],[% Used]]&gt;=0.8,"WARNING","OK")))</f>
        <v>OK</v>
      </c>
    </row>
    <row r="320" spans="1:22" hidden="1">
      <c r="A320" s="4" t="s">
        <v>456</v>
      </c>
      <c r="B320" s="4">
        <v>816405</v>
      </c>
      <c r="C320" s="4"/>
      <c r="D320" s="4"/>
      <c r="E320" s="4"/>
      <c r="F320" s="4"/>
      <c r="G320" s="6"/>
      <c r="H320" s="6"/>
      <c r="I320" s="32"/>
      <c r="J320" s="1"/>
      <c r="K320" s="4">
        <v>500</v>
      </c>
      <c r="L320" s="4" t="s">
        <v>122</v>
      </c>
      <c r="M320" s="4" t="s">
        <v>35</v>
      </c>
      <c r="N320" s="6"/>
      <c r="O320" s="1"/>
      <c r="P320" s="4">
        <v>0</v>
      </c>
      <c r="Q320" s="4">
        <v>0</v>
      </c>
      <c r="R320" s="4">
        <f>IF(
    OR(Dashboard_Query[[#This Row],[Monthly Allowance]]="",Dashboard_Query[[#This Row],[Current Usage]]=""),
    "",
    MAX(0,Dashboard_Query[[#This Row],[Monthly Allowance]]-Dashboard_Query[[#This Row],[Current Usage]])
)</f>
        <v>500</v>
      </c>
      <c r="S320" s="9">
        <f>IF(OR(Dashboard_Query[[#This Row],[Monthly Allowance]]="",Dashboard_Query[[#This Row],[Current Usage]]=""),"",Dashboard_Query[[#This Row],[Current Usage]]/Dashboard_Query[[#This Row],[Monthly Allowance]])</f>
        <v>0</v>
      </c>
      <c r="T320" s="9">
        <f>IF(Dashboard_Query[[#This Row],[% Used]]="","",1-Dashboard_Query[[#This Row],[% Used]])</f>
        <v>1</v>
      </c>
      <c r="U320" s="4">
        <f>IF(OR(Dashboard_Query[[#This Row],[Monthly Allowance]]="",Dashboard_Query[[#This Row],[Current Usage]]=""),"",MAX(0,Dashboard_Query[[#This Row],[Current Usage]]-Dashboard_Query[[#This Row],[Monthly Allowance]]))</f>
        <v>0</v>
      </c>
      <c r="V320" s="4" t="str">
        <f>IF(Dashboard_Query[[#This Row],[Monthly Allowance]]="","",IF(Dashboard_Query[[#This Row],[Overage]]&gt;0,"OVER",IF(Dashboard_Query[[#This Row],[% Used]]&gt;=0.8,"WARNING","OK")))</f>
        <v>OK</v>
      </c>
    </row>
    <row r="321" spans="1:22" hidden="1">
      <c r="A321" s="4" t="s">
        <v>466</v>
      </c>
      <c r="B321" s="4">
        <v>816415</v>
      </c>
      <c r="C321" s="4"/>
      <c r="D321" s="4"/>
      <c r="E321" s="4"/>
      <c r="F321" s="4"/>
      <c r="G321" s="6"/>
      <c r="H321" s="6"/>
      <c r="I321" s="32"/>
      <c r="J321" s="1"/>
      <c r="K321" s="4">
        <v>500</v>
      </c>
      <c r="L321" s="4" t="s">
        <v>122</v>
      </c>
      <c r="M321" s="4" t="s">
        <v>35</v>
      </c>
      <c r="N321" s="6"/>
      <c r="O321" s="1"/>
      <c r="P321" s="4">
        <v>0</v>
      </c>
      <c r="Q321" s="4">
        <v>0</v>
      </c>
      <c r="R321" s="4">
        <f>IF(
    OR(Dashboard_Query[[#This Row],[Monthly Allowance]]="",Dashboard_Query[[#This Row],[Current Usage]]=""),
    "",
    MAX(0,Dashboard_Query[[#This Row],[Monthly Allowance]]-Dashboard_Query[[#This Row],[Current Usage]])
)</f>
        <v>500</v>
      </c>
      <c r="S321" s="9">
        <f>IF(OR(Dashboard_Query[[#This Row],[Monthly Allowance]]="",Dashboard_Query[[#This Row],[Current Usage]]=""),"",Dashboard_Query[[#This Row],[Current Usage]]/Dashboard_Query[[#This Row],[Monthly Allowance]])</f>
        <v>0</v>
      </c>
      <c r="T321" s="9">
        <f>IF(Dashboard_Query[[#This Row],[% Used]]="","",1-Dashboard_Query[[#This Row],[% Used]])</f>
        <v>1</v>
      </c>
      <c r="U321" s="4">
        <f>IF(OR(Dashboard_Query[[#This Row],[Monthly Allowance]]="",Dashboard_Query[[#This Row],[Current Usage]]=""),"",MAX(0,Dashboard_Query[[#This Row],[Current Usage]]-Dashboard_Query[[#This Row],[Monthly Allowance]]))</f>
        <v>0</v>
      </c>
      <c r="V321" s="4" t="str">
        <f>IF(Dashboard_Query[[#This Row],[Monthly Allowance]]="","",IF(Dashboard_Query[[#This Row],[Overage]]&gt;0,"OVER",IF(Dashboard_Query[[#This Row],[% Used]]&gt;=0.8,"WARNING","OK")))</f>
        <v>OK</v>
      </c>
    </row>
    <row r="322" spans="1:22" hidden="1">
      <c r="A322" s="4" t="s">
        <v>457</v>
      </c>
      <c r="B322" s="4">
        <v>816406</v>
      </c>
      <c r="C322" s="4"/>
      <c r="D322" s="4"/>
      <c r="E322" s="4"/>
      <c r="F322" s="4"/>
      <c r="G322" s="6"/>
      <c r="H322" s="6"/>
      <c r="I322" s="32"/>
      <c r="J322" s="1"/>
      <c r="K322" s="4">
        <v>500</v>
      </c>
      <c r="L322" s="4" t="s">
        <v>122</v>
      </c>
      <c r="M322" s="4" t="s">
        <v>35</v>
      </c>
      <c r="N322" s="6"/>
      <c r="O322" s="1"/>
      <c r="P322" s="4">
        <v>0</v>
      </c>
      <c r="Q322" s="4">
        <v>0</v>
      </c>
      <c r="R322" s="4">
        <f>IF(
    OR(Dashboard_Query[[#This Row],[Monthly Allowance]]="",Dashboard_Query[[#This Row],[Current Usage]]=""),
    "",
    MAX(0,Dashboard_Query[[#This Row],[Monthly Allowance]]-Dashboard_Query[[#This Row],[Current Usage]])
)</f>
        <v>500</v>
      </c>
      <c r="S322" s="9">
        <f>IF(OR(Dashboard_Query[[#This Row],[Monthly Allowance]]="",Dashboard_Query[[#This Row],[Current Usage]]=""),"",Dashboard_Query[[#This Row],[Current Usage]]/Dashboard_Query[[#This Row],[Monthly Allowance]])</f>
        <v>0</v>
      </c>
      <c r="T322" s="9">
        <f>IF(Dashboard_Query[[#This Row],[% Used]]="","",1-Dashboard_Query[[#This Row],[% Used]])</f>
        <v>1</v>
      </c>
      <c r="U322" s="4">
        <f>IF(OR(Dashboard_Query[[#This Row],[Monthly Allowance]]="",Dashboard_Query[[#This Row],[Current Usage]]=""),"",MAX(0,Dashboard_Query[[#This Row],[Current Usage]]-Dashboard_Query[[#This Row],[Monthly Allowance]]))</f>
        <v>0</v>
      </c>
      <c r="V322" s="4" t="str">
        <f>IF(Dashboard_Query[[#This Row],[Monthly Allowance]]="","",IF(Dashboard_Query[[#This Row],[Overage]]&gt;0,"OVER",IF(Dashboard_Query[[#This Row],[% Used]]&gt;=0.8,"WARNING","OK")))</f>
        <v>OK</v>
      </c>
    </row>
    <row r="323" spans="1:22" hidden="1">
      <c r="A323" s="4" t="s">
        <v>462</v>
      </c>
      <c r="B323" s="4">
        <v>816411</v>
      </c>
      <c r="C323" s="4"/>
      <c r="D323" s="4"/>
      <c r="E323" s="4"/>
      <c r="F323" s="4"/>
      <c r="G323" s="6"/>
      <c r="H323" s="6"/>
      <c r="I323" s="32"/>
      <c r="J323" s="1"/>
      <c r="K323" s="4">
        <v>500</v>
      </c>
      <c r="L323" s="4" t="s">
        <v>122</v>
      </c>
      <c r="M323" s="4" t="s">
        <v>35</v>
      </c>
      <c r="N323" s="6"/>
      <c r="O323" s="1"/>
      <c r="P323" s="4">
        <v>0</v>
      </c>
      <c r="Q323" s="4">
        <v>0</v>
      </c>
      <c r="R323" s="4">
        <f>IF(
    OR(Dashboard_Query[[#This Row],[Monthly Allowance]]="",Dashboard_Query[[#This Row],[Current Usage]]=""),
    "",
    MAX(0,Dashboard_Query[[#This Row],[Monthly Allowance]]-Dashboard_Query[[#This Row],[Current Usage]])
)</f>
        <v>500</v>
      </c>
      <c r="S323" s="9">
        <f>IF(OR(Dashboard_Query[[#This Row],[Monthly Allowance]]="",Dashboard_Query[[#This Row],[Current Usage]]=""),"",Dashboard_Query[[#This Row],[Current Usage]]/Dashboard_Query[[#This Row],[Monthly Allowance]])</f>
        <v>0</v>
      </c>
      <c r="T323" s="9">
        <f>IF(Dashboard_Query[[#This Row],[% Used]]="","",1-Dashboard_Query[[#This Row],[% Used]])</f>
        <v>1</v>
      </c>
      <c r="U323" s="4">
        <f>IF(OR(Dashboard_Query[[#This Row],[Monthly Allowance]]="",Dashboard_Query[[#This Row],[Current Usage]]=""),"",MAX(0,Dashboard_Query[[#This Row],[Current Usage]]-Dashboard_Query[[#This Row],[Monthly Allowance]]))</f>
        <v>0</v>
      </c>
      <c r="V323" s="4" t="str">
        <f>IF(Dashboard_Query[[#This Row],[Monthly Allowance]]="","",IF(Dashboard_Query[[#This Row],[Overage]]&gt;0,"OVER",IF(Dashboard_Query[[#This Row],[% Used]]&gt;=0.8,"WARNING","OK")))</f>
        <v>OK</v>
      </c>
    </row>
    <row r="324" spans="1:22" hidden="1">
      <c r="A324" s="4" t="s">
        <v>449</v>
      </c>
      <c r="B324" s="4">
        <v>816398</v>
      </c>
      <c r="C324" s="4"/>
      <c r="D324" s="4"/>
      <c r="E324" s="4"/>
      <c r="F324" s="4"/>
      <c r="G324" s="6"/>
      <c r="H324" s="6"/>
      <c r="I324" s="32"/>
      <c r="J324" s="1"/>
      <c r="K324" s="4">
        <v>500</v>
      </c>
      <c r="L324" s="4" t="s">
        <v>122</v>
      </c>
      <c r="M324" s="4" t="s">
        <v>35</v>
      </c>
      <c r="N324" s="6"/>
      <c r="O324" s="1"/>
      <c r="P324" s="4">
        <v>0</v>
      </c>
      <c r="Q324" s="4">
        <v>0</v>
      </c>
      <c r="R324" s="4">
        <f>IF(
    OR(Dashboard_Query[[#This Row],[Monthly Allowance]]="",Dashboard_Query[[#This Row],[Current Usage]]=""),
    "",
    MAX(0,Dashboard_Query[[#This Row],[Monthly Allowance]]-Dashboard_Query[[#This Row],[Current Usage]])
)</f>
        <v>500</v>
      </c>
      <c r="S324" s="9">
        <f>IF(OR(Dashboard_Query[[#This Row],[Monthly Allowance]]="",Dashboard_Query[[#This Row],[Current Usage]]=""),"",Dashboard_Query[[#This Row],[Current Usage]]/Dashboard_Query[[#This Row],[Monthly Allowance]])</f>
        <v>0</v>
      </c>
      <c r="T324" s="9">
        <f>IF(Dashboard_Query[[#This Row],[% Used]]="","",1-Dashboard_Query[[#This Row],[% Used]])</f>
        <v>1</v>
      </c>
      <c r="U324" s="4">
        <f>IF(OR(Dashboard_Query[[#This Row],[Monthly Allowance]]="",Dashboard_Query[[#This Row],[Current Usage]]=""),"",MAX(0,Dashboard_Query[[#This Row],[Current Usage]]-Dashboard_Query[[#This Row],[Monthly Allowance]]))</f>
        <v>0</v>
      </c>
      <c r="V324" s="4" t="str">
        <f>IF(Dashboard_Query[[#This Row],[Monthly Allowance]]="","",IF(Dashboard_Query[[#This Row],[Overage]]&gt;0,"OVER",IF(Dashboard_Query[[#This Row],[% Used]]&gt;=0.8,"WARNING","OK")))</f>
        <v>OK</v>
      </c>
    </row>
    <row r="325" spans="1:22" hidden="1">
      <c r="A325" s="4" t="s">
        <v>444</v>
      </c>
      <c r="B325" s="4">
        <v>816393</v>
      </c>
      <c r="C325" s="4"/>
      <c r="D325" s="4"/>
      <c r="E325" s="4"/>
      <c r="F325" s="4"/>
      <c r="G325" s="6"/>
      <c r="H325" s="6"/>
      <c r="I325" s="32"/>
      <c r="J325" s="1"/>
      <c r="K325" s="4">
        <v>500</v>
      </c>
      <c r="L325" s="4" t="s">
        <v>122</v>
      </c>
      <c r="M325" s="4" t="s">
        <v>35</v>
      </c>
      <c r="N325" s="6"/>
      <c r="O325" s="1"/>
      <c r="P325" s="4">
        <v>0</v>
      </c>
      <c r="Q325" s="4">
        <v>0</v>
      </c>
      <c r="R325" s="4">
        <f>IF(
    OR(Dashboard_Query[[#This Row],[Monthly Allowance]]="",Dashboard_Query[[#This Row],[Current Usage]]=""),
    "",
    MAX(0,Dashboard_Query[[#This Row],[Monthly Allowance]]-Dashboard_Query[[#This Row],[Current Usage]])
)</f>
        <v>500</v>
      </c>
      <c r="S325" s="9">
        <f>IF(OR(Dashboard_Query[[#This Row],[Monthly Allowance]]="",Dashboard_Query[[#This Row],[Current Usage]]=""),"",Dashboard_Query[[#This Row],[Current Usage]]/Dashboard_Query[[#This Row],[Monthly Allowance]])</f>
        <v>0</v>
      </c>
      <c r="T325" s="9">
        <f>IF(Dashboard_Query[[#This Row],[% Used]]="","",1-Dashboard_Query[[#This Row],[% Used]])</f>
        <v>1</v>
      </c>
      <c r="U325" s="4">
        <f>IF(OR(Dashboard_Query[[#This Row],[Monthly Allowance]]="",Dashboard_Query[[#This Row],[Current Usage]]=""),"",MAX(0,Dashboard_Query[[#This Row],[Current Usage]]-Dashboard_Query[[#This Row],[Monthly Allowance]]))</f>
        <v>0</v>
      </c>
      <c r="V325" s="4" t="str">
        <f>IF(Dashboard_Query[[#This Row],[Monthly Allowance]]="","",IF(Dashboard_Query[[#This Row],[Overage]]&gt;0,"OVER",IF(Dashboard_Query[[#This Row],[% Used]]&gt;=0.8,"WARNING","OK")))</f>
        <v>OK</v>
      </c>
    </row>
    <row r="326" spans="1:22" hidden="1">
      <c r="A326" s="4" t="s">
        <v>459</v>
      </c>
      <c r="B326" s="4">
        <v>816408</v>
      </c>
      <c r="C326" s="4"/>
      <c r="D326" s="4"/>
      <c r="E326" s="4"/>
      <c r="F326" s="4"/>
      <c r="G326" s="6"/>
      <c r="H326" s="6"/>
      <c r="I326" s="32"/>
      <c r="J326" s="1"/>
      <c r="K326" s="4">
        <v>500</v>
      </c>
      <c r="L326" s="4" t="s">
        <v>122</v>
      </c>
      <c r="M326" s="4" t="s">
        <v>35</v>
      </c>
      <c r="N326" s="6"/>
      <c r="O326" s="1"/>
      <c r="P326" s="4">
        <v>0</v>
      </c>
      <c r="Q326" s="4">
        <v>0</v>
      </c>
      <c r="R326" s="4">
        <f>IF(
    OR(Dashboard_Query[[#This Row],[Monthly Allowance]]="",Dashboard_Query[[#This Row],[Current Usage]]=""),
    "",
    MAX(0,Dashboard_Query[[#This Row],[Monthly Allowance]]-Dashboard_Query[[#This Row],[Current Usage]])
)</f>
        <v>500</v>
      </c>
      <c r="S326" s="9">
        <f>IF(OR(Dashboard_Query[[#This Row],[Monthly Allowance]]="",Dashboard_Query[[#This Row],[Current Usage]]=""),"",Dashboard_Query[[#This Row],[Current Usage]]/Dashboard_Query[[#This Row],[Monthly Allowance]])</f>
        <v>0</v>
      </c>
      <c r="T326" s="9">
        <f>IF(Dashboard_Query[[#This Row],[% Used]]="","",1-Dashboard_Query[[#This Row],[% Used]])</f>
        <v>1</v>
      </c>
      <c r="U326" s="4">
        <f>IF(OR(Dashboard_Query[[#This Row],[Monthly Allowance]]="",Dashboard_Query[[#This Row],[Current Usage]]=""),"",MAX(0,Dashboard_Query[[#This Row],[Current Usage]]-Dashboard_Query[[#This Row],[Monthly Allowance]]))</f>
        <v>0</v>
      </c>
      <c r="V326" s="4" t="str">
        <f>IF(Dashboard_Query[[#This Row],[Monthly Allowance]]="","",IF(Dashboard_Query[[#This Row],[Overage]]&gt;0,"OVER",IF(Dashboard_Query[[#This Row],[% Used]]&gt;=0.8,"WARNING","OK")))</f>
        <v>OK</v>
      </c>
    </row>
    <row r="327" spans="1:22" hidden="1">
      <c r="A327" s="4" t="s">
        <v>455</v>
      </c>
      <c r="B327" s="4">
        <v>816404</v>
      </c>
      <c r="C327" s="4"/>
      <c r="D327" s="4"/>
      <c r="E327" s="4"/>
      <c r="F327" s="4"/>
      <c r="G327" s="6"/>
      <c r="H327" s="6"/>
      <c r="I327" s="32"/>
      <c r="J327" s="1"/>
      <c r="K327" s="4">
        <v>500</v>
      </c>
      <c r="L327" s="4" t="s">
        <v>122</v>
      </c>
      <c r="M327" s="4" t="s">
        <v>35</v>
      </c>
      <c r="N327" s="6"/>
      <c r="O327" s="1"/>
      <c r="P327" s="4">
        <v>0</v>
      </c>
      <c r="Q327" s="4">
        <v>0</v>
      </c>
      <c r="R327" s="4">
        <f>IF(
    OR(Dashboard_Query[[#This Row],[Monthly Allowance]]="",Dashboard_Query[[#This Row],[Current Usage]]=""),
    "",
    MAX(0,Dashboard_Query[[#This Row],[Monthly Allowance]]-Dashboard_Query[[#This Row],[Current Usage]])
)</f>
        <v>500</v>
      </c>
      <c r="S327" s="9">
        <f>IF(OR(Dashboard_Query[[#This Row],[Monthly Allowance]]="",Dashboard_Query[[#This Row],[Current Usage]]=""),"",Dashboard_Query[[#This Row],[Current Usage]]/Dashboard_Query[[#This Row],[Monthly Allowance]])</f>
        <v>0</v>
      </c>
      <c r="T327" s="9">
        <f>IF(Dashboard_Query[[#This Row],[% Used]]="","",1-Dashboard_Query[[#This Row],[% Used]])</f>
        <v>1</v>
      </c>
      <c r="U327" s="4">
        <f>IF(OR(Dashboard_Query[[#This Row],[Monthly Allowance]]="",Dashboard_Query[[#This Row],[Current Usage]]=""),"",MAX(0,Dashboard_Query[[#This Row],[Current Usage]]-Dashboard_Query[[#This Row],[Monthly Allowance]]))</f>
        <v>0</v>
      </c>
      <c r="V327" s="4" t="str">
        <f>IF(Dashboard_Query[[#This Row],[Monthly Allowance]]="","",IF(Dashboard_Query[[#This Row],[Overage]]&gt;0,"OVER",IF(Dashboard_Query[[#This Row],[% Used]]&gt;=0.8,"WARNING","OK")))</f>
        <v>OK</v>
      </c>
    </row>
    <row r="328" spans="1:22" ht="15" hidden="1">
      <c r="A328" s="4" t="s">
        <v>451</v>
      </c>
      <c r="B328" s="4">
        <v>816400</v>
      </c>
      <c r="C328" s="4"/>
      <c r="D328" s="4"/>
      <c r="E328" s="7"/>
      <c r="F328" s="3"/>
      <c r="G328" s="6"/>
      <c r="H328" s="6"/>
      <c r="I328" s="32"/>
      <c r="J328" s="1"/>
      <c r="K328" s="4">
        <v>500</v>
      </c>
      <c r="L328" s="4" t="s">
        <v>122</v>
      </c>
      <c r="M328" s="4" t="s">
        <v>35</v>
      </c>
      <c r="N328" s="6"/>
      <c r="O328" s="1"/>
      <c r="P328" s="4">
        <v>0</v>
      </c>
      <c r="Q328" s="4">
        <v>0</v>
      </c>
      <c r="R328" s="4">
        <f>IF(
    OR(Dashboard_Query[[#This Row],[Monthly Allowance]]="",Dashboard_Query[[#This Row],[Current Usage]]=""),
    "",
    MAX(0,Dashboard_Query[[#This Row],[Monthly Allowance]]-Dashboard_Query[[#This Row],[Current Usage]])
)</f>
        <v>500</v>
      </c>
      <c r="S328" s="9">
        <f>IF(OR(Dashboard_Query[[#This Row],[Monthly Allowance]]="",Dashboard_Query[[#This Row],[Current Usage]]=""),"",Dashboard_Query[[#This Row],[Current Usage]]/Dashboard_Query[[#This Row],[Monthly Allowance]])</f>
        <v>0</v>
      </c>
      <c r="T328" s="9">
        <f>IF(Dashboard_Query[[#This Row],[% Used]]="","",1-Dashboard_Query[[#This Row],[% Used]])</f>
        <v>1</v>
      </c>
      <c r="U328" s="4">
        <f>IF(OR(Dashboard_Query[[#This Row],[Monthly Allowance]]="",Dashboard_Query[[#This Row],[Current Usage]]=""),"",MAX(0,Dashboard_Query[[#This Row],[Current Usage]]-Dashboard_Query[[#This Row],[Monthly Allowance]]))</f>
        <v>0</v>
      </c>
      <c r="V328" s="4" t="str">
        <f>IF(Dashboard_Query[[#This Row],[Monthly Allowance]]="","",IF(Dashboard_Query[[#This Row],[Overage]]&gt;0,"OVER",IF(Dashboard_Query[[#This Row],[% Used]]&gt;=0.8,"WARNING","OK")))</f>
        <v>OK</v>
      </c>
    </row>
    <row r="329" spans="1:22" hidden="1">
      <c r="A329" s="4" t="s">
        <v>442</v>
      </c>
      <c r="B329" s="4">
        <v>816391</v>
      </c>
      <c r="C329" s="4"/>
      <c r="D329" s="4"/>
      <c r="E329" s="4"/>
      <c r="F329" s="4"/>
      <c r="G329" s="6"/>
      <c r="H329" s="6"/>
      <c r="I329" s="32"/>
      <c r="J329" s="1"/>
      <c r="K329" s="4">
        <v>500</v>
      </c>
      <c r="L329" s="4" t="s">
        <v>122</v>
      </c>
      <c r="M329" s="4" t="s">
        <v>35</v>
      </c>
      <c r="N329" s="6"/>
      <c r="O329" s="1"/>
      <c r="P329" s="4">
        <v>0</v>
      </c>
      <c r="Q329" s="4">
        <v>0</v>
      </c>
      <c r="R329" s="4">
        <f>IF(
    OR(Dashboard_Query[[#This Row],[Monthly Allowance]]="",Dashboard_Query[[#This Row],[Current Usage]]=""),
    "",
    MAX(0,Dashboard_Query[[#This Row],[Monthly Allowance]]-Dashboard_Query[[#This Row],[Current Usage]])
)</f>
        <v>500</v>
      </c>
      <c r="S329" s="9">
        <f>IF(OR(Dashboard_Query[[#This Row],[Monthly Allowance]]="",Dashboard_Query[[#This Row],[Current Usage]]=""),"",Dashboard_Query[[#This Row],[Current Usage]]/Dashboard_Query[[#This Row],[Monthly Allowance]])</f>
        <v>0</v>
      </c>
      <c r="T329" s="9">
        <f>IF(Dashboard_Query[[#This Row],[% Used]]="","",1-Dashboard_Query[[#This Row],[% Used]])</f>
        <v>1</v>
      </c>
      <c r="U329" s="4">
        <f>IF(OR(Dashboard_Query[[#This Row],[Monthly Allowance]]="",Dashboard_Query[[#This Row],[Current Usage]]=""),"",MAX(0,Dashboard_Query[[#This Row],[Current Usage]]-Dashboard_Query[[#This Row],[Monthly Allowance]]))</f>
        <v>0</v>
      </c>
      <c r="V329" s="4" t="str">
        <f>IF(Dashboard_Query[[#This Row],[Monthly Allowance]]="","",IF(Dashboard_Query[[#This Row],[Overage]]&gt;0,"OVER",IF(Dashboard_Query[[#This Row],[% Used]]&gt;=0.8,"WARNING","OK")))</f>
        <v>OK</v>
      </c>
    </row>
    <row r="330" spans="1:22" hidden="1">
      <c r="A330" s="4" t="s">
        <v>447</v>
      </c>
      <c r="B330" s="4">
        <v>816396</v>
      </c>
      <c r="C330" s="4"/>
      <c r="D330" s="4"/>
      <c r="E330" s="4"/>
      <c r="F330" s="4"/>
      <c r="G330" s="6"/>
      <c r="H330" s="6"/>
      <c r="I330" s="32"/>
      <c r="J330" s="1"/>
      <c r="K330" s="4">
        <v>500</v>
      </c>
      <c r="L330" s="4" t="s">
        <v>122</v>
      </c>
      <c r="M330" s="4" t="s">
        <v>35</v>
      </c>
      <c r="N330" s="6"/>
      <c r="O330" s="1"/>
      <c r="P330" s="4">
        <v>0</v>
      </c>
      <c r="Q330" s="4">
        <v>0</v>
      </c>
      <c r="R330" s="4">
        <f>IF(
    OR(Dashboard_Query[[#This Row],[Monthly Allowance]]="",Dashboard_Query[[#This Row],[Current Usage]]=""),
    "",
    MAX(0,Dashboard_Query[[#This Row],[Monthly Allowance]]-Dashboard_Query[[#This Row],[Current Usage]])
)</f>
        <v>500</v>
      </c>
      <c r="S330" s="9">
        <f>IF(OR(Dashboard_Query[[#This Row],[Monthly Allowance]]="",Dashboard_Query[[#This Row],[Current Usage]]=""),"",Dashboard_Query[[#This Row],[Current Usage]]/Dashboard_Query[[#This Row],[Monthly Allowance]])</f>
        <v>0</v>
      </c>
      <c r="T330" s="9">
        <f>IF(Dashboard_Query[[#This Row],[% Used]]="","",1-Dashboard_Query[[#This Row],[% Used]])</f>
        <v>1</v>
      </c>
      <c r="U330" s="4">
        <f>IF(OR(Dashboard_Query[[#This Row],[Monthly Allowance]]="",Dashboard_Query[[#This Row],[Current Usage]]=""),"",MAX(0,Dashboard_Query[[#This Row],[Current Usage]]-Dashboard_Query[[#This Row],[Monthly Allowance]]))</f>
        <v>0</v>
      </c>
      <c r="V330" s="4" t="str">
        <f>IF(Dashboard_Query[[#This Row],[Monthly Allowance]]="","",IF(Dashboard_Query[[#This Row],[Overage]]&gt;0,"OVER",IF(Dashboard_Query[[#This Row],[% Used]]&gt;=0.8,"WARNING","OK")))</f>
        <v>OK</v>
      </c>
    </row>
    <row r="331" spans="1:22" hidden="1">
      <c r="A331" s="4" t="s">
        <v>460</v>
      </c>
      <c r="B331" s="4">
        <v>816409</v>
      </c>
      <c r="C331" s="4"/>
      <c r="D331" s="4"/>
      <c r="E331" s="4"/>
      <c r="F331" s="4"/>
      <c r="G331" s="6"/>
      <c r="H331" s="6"/>
      <c r="I331" s="32"/>
      <c r="J331" s="1"/>
      <c r="K331" s="4">
        <v>500</v>
      </c>
      <c r="L331" s="4" t="s">
        <v>122</v>
      </c>
      <c r="M331" s="4" t="s">
        <v>35</v>
      </c>
      <c r="N331" s="6"/>
      <c r="O331" s="1"/>
      <c r="P331" s="4">
        <v>0</v>
      </c>
      <c r="Q331" s="4">
        <v>0</v>
      </c>
      <c r="R331" s="4">
        <f>IF(
    OR(Dashboard_Query[[#This Row],[Monthly Allowance]]="",Dashboard_Query[[#This Row],[Current Usage]]=""),
    "",
    MAX(0,Dashboard_Query[[#This Row],[Monthly Allowance]]-Dashboard_Query[[#This Row],[Current Usage]])
)</f>
        <v>500</v>
      </c>
      <c r="S331" s="9">
        <f>IF(OR(Dashboard_Query[[#This Row],[Monthly Allowance]]="",Dashboard_Query[[#This Row],[Current Usage]]=""),"",Dashboard_Query[[#This Row],[Current Usage]]/Dashboard_Query[[#This Row],[Monthly Allowance]])</f>
        <v>0</v>
      </c>
      <c r="T331" s="9">
        <f>IF(Dashboard_Query[[#This Row],[% Used]]="","",1-Dashboard_Query[[#This Row],[% Used]])</f>
        <v>1</v>
      </c>
      <c r="U331" s="4">
        <f>IF(OR(Dashboard_Query[[#This Row],[Monthly Allowance]]="",Dashboard_Query[[#This Row],[Current Usage]]=""),"",MAX(0,Dashboard_Query[[#This Row],[Current Usage]]-Dashboard_Query[[#This Row],[Monthly Allowance]]))</f>
        <v>0</v>
      </c>
      <c r="V331" s="4" t="str">
        <f>IF(Dashboard_Query[[#This Row],[Monthly Allowance]]="","",IF(Dashboard_Query[[#This Row],[Overage]]&gt;0,"OVER",IF(Dashboard_Query[[#This Row],[% Used]]&gt;=0.8,"WARNING","OK")))</f>
        <v>OK</v>
      </c>
    </row>
    <row r="332" spans="1:22" hidden="1">
      <c r="A332" s="4" t="s">
        <v>458</v>
      </c>
      <c r="B332" s="4">
        <v>816407</v>
      </c>
      <c r="C332" s="4"/>
      <c r="D332" s="4"/>
      <c r="E332" s="4"/>
      <c r="F332" s="4"/>
      <c r="G332" s="6"/>
      <c r="H332" s="6"/>
      <c r="I332" s="32"/>
      <c r="J332" s="1"/>
      <c r="K332" s="4">
        <v>500</v>
      </c>
      <c r="L332" s="4" t="s">
        <v>122</v>
      </c>
      <c r="M332" s="4" t="s">
        <v>35</v>
      </c>
      <c r="N332" s="6"/>
      <c r="O332" s="1"/>
      <c r="P332" s="4">
        <v>0</v>
      </c>
      <c r="Q332" s="4">
        <v>0</v>
      </c>
      <c r="R332" s="4">
        <f>IF(
    OR(Dashboard_Query[[#This Row],[Monthly Allowance]]="",Dashboard_Query[[#This Row],[Current Usage]]=""),
    "",
    MAX(0,Dashboard_Query[[#This Row],[Monthly Allowance]]-Dashboard_Query[[#This Row],[Current Usage]])
)</f>
        <v>500</v>
      </c>
      <c r="S332" s="9">
        <f>IF(OR(Dashboard_Query[[#This Row],[Monthly Allowance]]="",Dashboard_Query[[#This Row],[Current Usage]]=""),"",Dashboard_Query[[#This Row],[Current Usage]]/Dashboard_Query[[#This Row],[Monthly Allowance]])</f>
        <v>0</v>
      </c>
      <c r="T332" s="9">
        <f>IF(Dashboard_Query[[#This Row],[% Used]]="","",1-Dashboard_Query[[#This Row],[% Used]])</f>
        <v>1</v>
      </c>
      <c r="U332" s="4">
        <f>IF(OR(Dashboard_Query[[#This Row],[Monthly Allowance]]="",Dashboard_Query[[#This Row],[Current Usage]]=""),"",MAX(0,Dashboard_Query[[#This Row],[Current Usage]]-Dashboard_Query[[#This Row],[Monthly Allowance]]))</f>
        <v>0</v>
      </c>
      <c r="V332" s="4" t="str">
        <f>IF(Dashboard_Query[[#This Row],[Monthly Allowance]]="","",IF(Dashboard_Query[[#This Row],[Overage]]&gt;0,"OVER",IF(Dashboard_Query[[#This Row],[% Used]]&gt;=0.8,"WARNING","OK")))</f>
        <v>OK</v>
      </c>
    </row>
    <row r="333" spans="1:22" hidden="1">
      <c r="A333" s="4" t="s">
        <v>432</v>
      </c>
      <c r="B333" s="4">
        <v>816381</v>
      </c>
      <c r="C333" s="4"/>
      <c r="D333" s="4"/>
      <c r="E333" s="4"/>
      <c r="F333" s="4"/>
      <c r="G333" s="6"/>
      <c r="H333" s="6"/>
      <c r="I333" s="32"/>
      <c r="J333" s="1"/>
      <c r="K333" s="4">
        <v>500</v>
      </c>
      <c r="L333" s="4" t="s">
        <v>122</v>
      </c>
      <c r="M333" s="4" t="s">
        <v>35</v>
      </c>
      <c r="N333" s="6"/>
      <c r="O333" s="1"/>
      <c r="P333" s="4">
        <v>0</v>
      </c>
      <c r="Q333" s="4">
        <v>0</v>
      </c>
      <c r="R333" s="4">
        <f>IF(
    OR(Dashboard_Query[[#This Row],[Monthly Allowance]]="",Dashboard_Query[[#This Row],[Current Usage]]=""),
    "",
    MAX(0,Dashboard_Query[[#This Row],[Monthly Allowance]]-Dashboard_Query[[#This Row],[Current Usage]])
)</f>
        <v>500</v>
      </c>
      <c r="S333" s="9">
        <f>IF(OR(Dashboard_Query[[#This Row],[Monthly Allowance]]="",Dashboard_Query[[#This Row],[Current Usage]]=""),"",Dashboard_Query[[#This Row],[Current Usage]]/Dashboard_Query[[#This Row],[Monthly Allowance]])</f>
        <v>0</v>
      </c>
      <c r="T333" s="9">
        <f>IF(Dashboard_Query[[#This Row],[% Used]]="","",1-Dashboard_Query[[#This Row],[% Used]])</f>
        <v>1</v>
      </c>
      <c r="U333" s="4">
        <f>IF(OR(Dashboard_Query[[#This Row],[Monthly Allowance]]="",Dashboard_Query[[#This Row],[Current Usage]]=""),"",MAX(0,Dashboard_Query[[#This Row],[Current Usage]]-Dashboard_Query[[#This Row],[Monthly Allowance]]))</f>
        <v>0</v>
      </c>
      <c r="V333" s="4" t="str">
        <f>IF(Dashboard_Query[[#This Row],[Monthly Allowance]]="","",IF(Dashboard_Query[[#This Row],[Overage]]&gt;0,"OVER",IF(Dashboard_Query[[#This Row],[% Used]]&gt;=0.8,"WARNING","OK")))</f>
        <v>OK</v>
      </c>
    </row>
    <row r="334" spans="1:22" hidden="1">
      <c r="A334" s="4" t="s">
        <v>452</v>
      </c>
      <c r="B334" s="4">
        <v>816401</v>
      </c>
      <c r="C334" s="4"/>
      <c r="D334" s="4"/>
      <c r="E334" s="4"/>
      <c r="F334" s="4"/>
      <c r="G334" s="6"/>
      <c r="H334" s="6"/>
      <c r="I334" s="32"/>
      <c r="J334" s="1"/>
      <c r="K334" s="4">
        <v>500</v>
      </c>
      <c r="L334" s="4" t="s">
        <v>122</v>
      </c>
      <c r="M334" s="4" t="s">
        <v>35</v>
      </c>
      <c r="N334" s="6"/>
      <c r="O334" s="1"/>
      <c r="P334" s="4">
        <v>0</v>
      </c>
      <c r="Q334" s="4">
        <v>0</v>
      </c>
      <c r="R334" s="4">
        <f>IF(
    OR(Dashboard_Query[[#This Row],[Monthly Allowance]]="",Dashboard_Query[[#This Row],[Current Usage]]=""),
    "",
    MAX(0,Dashboard_Query[[#This Row],[Monthly Allowance]]-Dashboard_Query[[#This Row],[Current Usage]])
)</f>
        <v>500</v>
      </c>
      <c r="S334" s="9">
        <f>IF(OR(Dashboard_Query[[#This Row],[Monthly Allowance]]="",Dashboard_Query[[#This Row],[Current Usage]]=""),"",Dashboard_Query[[#This Row],[Current Usage]]/Dashboard_Query[[#This Row],[Monthly Allowance]])</f>
        <v>0</v>
      </c>
      <c r="T334" s="9">
        <f>IF(Dashboard_Query[[#This Row],[% Used]]="","",1-Dashboard_Query[[#This Row],[% Used]])</f>
        <v>1</v>
      </c>
      <c r="U334" s="4">
        <f>IF(OR(Dashboard_Query[[#This Row],[Monthly Allowance]]="",Dashboard_Query[[#This Row],[Current Usage]]=""),"",MAX(0,Dashboard_Query[[#This Row],[Current Usage]]-Dashboard_Query[[#This Row],[Monthly Allowance]]))</f>
        <v>0</v>
      </c>
      <c r="V334" s="4" t="str">
        <f>IF(Dashboard_Query[[#This Row],[Monthly Allowance]]="","",IF(Dashboard_Query[[#This Row],[Overage]]&gt;0,"OVER",IF(Dashboard_Query[[#This Row],[% Used]]&gt;=0.8,"WARNING","OK")))</f>
        <v>OK</v>
      </c>
    </row>
    <row r="335" spans="1:22" hidden="1">
      <c r="A335" s="4" t="s">
        <v>450</v>
      </c>
      <c r="B335" s="4">
        <v>816399</v>
      </c>
      <c r="C335" s="4"/>
      <c r="D335" s="4"/>
      <c r="E335" s="4"/>
      <c r="F335" s="4"/>
      <c r="G335" s="6"/>
      <c r="H335" s="6"/>
      <c r="I335" s="32"/>
      <c r="J335" s="1"/>
      <c r="K335" s="4">
        <v>500</v>
      </c>
      <c r="L335" s="4" t="s">
        <v>122</v>
      </c>
      <c r="M335" s="4" t="s">
        <v>35</v>
      </c>
      <c r="N335" s="6"/>
      <c r="O335" s="1"/>
      <c r="P335" s="4">
        <v>0</v>
      </c>
      <c r="Q335" s="4">
        <v>0</v>
      </c>
      <c r="R335" s="4">
        <f>IF(
    OR(Dashboard_Query[[#This Row],[Monthly Allowance]]="",Dashboard_Query[[#This Row],[Current Usage]]=""),
    "",
    MAX(0,Dashboard_Query[[#This Row],[Monthly Allowance]]-Dashboard_Query[[#This Row],[Current Usage]])
)</f>
        <v>500</v>
      </c>
      <c r="S335" s="9">
        <f>IF(OR(Dashboard_Query[[#This Row],[Monthly Allowance]]="",Dashboard_Query[[#This Row],[Current Usage]]=""),"",Dashboard_Query[[#This Row],[Current Usage]]/Dashboard_Query[[#This Row],[Monthly Allowance]])</f>
        <v>0</v>
      </c>
      <c r="T335" s="9">
        <f>IF(Dashboard_Query[[#This Row],[% Used]]="","",1-Dashboard_Query[[#This Row],[% Used]])</f>
        <v>1</v>
      </c>
      <c r="U335" s="4">
        <f>IF(OR(Dashboard_Query[[#This Row],[Monthly Allowance]]="",Dashboard_Query[[#This Row],[Current Usage]]=""),"",MAX(0,Dashboard_Query[[#This Row],[Current Usage]]-Dashboard_Query[[#This Row],[Monthly Allowance]]))</f>
        <v>0</v>
      </c>
      <c r="V335" s="4" t="str">
        <f>IF(Dashboard_Query[[#This Row],[Monthly Allowance]]="","",IF(Dashboard_Query[[#This Row],[Overage]]&gt;0,"OVER",IF(Dashboard_Query[[#This Row],[% Used]]&gt;=0.8,"WARNING","OK")))</f>
        <v>OK</v>
      </c>
    </row>
    <row r="336" spans="1:22" hidden="1">
      <c r="A336" s="4" t="s">
        <v>461</v>
      </c>
      <c r="B336" s="4">
        <v>816410</v>
      </c>
      <c r="C336" s="4"/>
      <c r="D336" s="4"/>
      <c r="E336" s="4"/>
      <c r="F336" s="4"/>
      <c r="G336" s="6"/>
      <c r="H336" s="6"/>
      <c r="I336" s="32"/>
      <c r="J336" s="1"/>
      <c r="K336" s="4">
        <v>500</v>
      </c>
      <c r="L336" s="4" t="s">
        <v>122</v>
      </c>
      <c r="M336" s="4" t="s">
        <v>35</v>
      </c>
      <c r="N336" s="6"/>
      <c r="O336" s="1"/>
      <c r="P336" s="4">
        <v>0</v>
      </c>
      <c r="Q336" s="4">
        <v>0</v>
      </c>
      <c r="R336" s="4">
        <f>IF(
    OR(Dashboard_Query[[#This Row],[Monthly Allowance]]="",Dashboard_Query[[#This Row],[Current Usage]]=""),
    "",
    MAX(0,Dashboard_Query[[#This Row],[Monthly Allowance]]-Dashboard_Query[[#This Row],[Current Usage]])
)</f>
        <v>500</v>
      </c>
      <c r="S336" s="9">
        <f>IF(OR(Dashboard_Query[[#This Row],[Monthly Allowance]]="",Dashboard_Query[[#This Row],[Current Usage]]=""),"",Dashboard_Query[[#This Row],[Current Usage]]/Dashboard_Query[[#This Row],[Monthly Allowance]])</f>
        <v>0</v>
      </c>
      <c r="T336" s="9">
        <f>IF(Dashboard_Query[[#This Row],[% Used]]="","",1-Dashboard_Query[[#This Row],[% Used]])</f>
        <v>1</v>
      </c>
      <c r="U336" s="4">
        <f>IF(OR(Dashboard_Query[[#This Row],[Monthly Allowance]]="",Dashboard_Query[[#This Row],[Current Usage]]=""),"",MAX(0,Dashboard_Query[[#This Row],[Current Usage]]-Dashboard_Query[[#This Row],[Monthly Allowance]]))</f>
        <v>0</v>
      </c>
      <c r="V336" s="4" t="str">
        <f>IF(Dashboard_Query[[#This Row],[Monthly Allowance]]="","",IF(Dashboard_Query[[#This Row],[Overage]]&gt;0,"OVER",IF(Dashboard_Query[[#This Row],[% Used]]&gt;=0.8,"WARNING","OK")))</f>
        <v>OK</v>
      </c>
    </row>
    <row r="337" spans="1:22" hidden="1">
      <c r="A337" s="4" t="s">
        <v>454</v>
      </c>
      <c r="B337" s="4">
        <v>816403</v>
      </c>
      <c r="C337" s="4"/>
      <c r="D337" s="4"/>
      <c r="E337" s="4"/>
      <c r="F337" s="4"/>
      <c r="G337" s="6"/>
      <c r="H337" s="6"/>
      <c r="I337" s="32"/>
      <c r="J337" s="1"/>
      <c r="K337" s="4">
        <v>500</v>
      </c>
      <c r="L337" s="4" t="s">
        <v>122</v>
      </c>
      <c r="M337" s="4" t="s">
        <v>35</v>
      </c>
      <c r="N337" s="6"/>
      <c r="O337" s="1"/>
      <c r="P337" s="4">
        <v>0</v>
      </c>
      <c r="Q337" s="4">
        <v>0</v>
      </c>
      <c r="R337" s="4">
        <f>IF(
    OR(Dashboard_Query[[#This Row],[Monthly Allowance]]="",Dashboard_Query[[#This Row],[Current Usage]]=""),
    "",
    MAX(0,Dashboard_Query[[#This Row],[Monthly Allowance]]-Dashboard_Query[[#This Row],[Current Usage]])
)</f>
        <v>500</v>
      </c>
      <c r="S337" s="9">
        <f>IF(OR(Dashboard_Query[[#This Row],[Monthly Allowance]]="",Dashboard_Query[[#This Row],[Current Usage]]=""),"",Dashboard_Query[[#This Row],[Current Usage]]/Dashboard_Query[[#This Row],[Monthly Allowance]])</f>
        <v>0</v>
      </c>
      <c r="T337" s="9">
        <f>IF(Dashboard_Query[[#This Row],[% Used]]="","",1-Dashboard_Query[[#This Row],[% Used]])</f>
        <v>1</v>
      </c>
      <c r="U337" s="4">
        <f>IF(OR(Dashboard_Query[[#This Row],[Monthly Allowance]]="",Dashboard_Query[[#This Row],[Current Usage]]=""),"",MAX(0,Dashboard_Query[[#This Row],[Current Usage]]-Dashboard_Query[[#This Row],[Monthly Allowance]]))</f>
        <v>0</v>
      </c>
      <c r="V337" s="4" t="str">
        <f>IF(Dashboard_Query[[#This Row],[Monthly Allowance]]="","",IF(Dashboard_Query[[#This Row],[Overage]]&gt;0,"OVER",IF(Dashboard_Query[[#This Row],[% Used]]&gt;=0.8,"WARNING","OK")))</f>
        <v>OK</v>
      </c>
    </row>
    <row r="338" spans="1:22" hidden="1">
      <c r="A338" s="4" t="s">
        <v>453</v>
      </c>
      <c r="B338" s="4">
        <v>816402</v>
      </c>
      <c r="C338" s="4"/>
      <c r="D338" s="4"/>
      <c r="E338" s="4"/>
      <c r="F338" s="4"/>
      <c r="G338" s="6"/>
      <c r="H338" s="6"/>
      <c r="I338" s="32"/>
      <c r="J338" s="1"/>
      <c r="K338" s="4">
        <v>500</v>
      </c>
      <c r="L338" s="4" t="s">
        <v>122</v>
      </c>
      <c r="M338" s="4" t="s">
        <v>35</v>
      </c>
      <c r="N338" s="6"/>
      <c r="O338" s="1"/>
      <c r="P338" s="4">
        <v>0</v>
      </c>
      <c r="Q338" s="4">
        <v>0</v>
      </c>
      <c r="R338" s="4">
        <f>IF(
    OR(Dashboard_Query[[#This Row],[Monthly Allowance]]="",Dashboard_Query[[#This Row],[Current Usage]]=""),
    "",
    MAX(0,Dashboard_Query[[#This Row],[Monthly Allowance]]-Dashboard_Query[[#This Row],[Current Usage]])
)</f>
        <v>500</v>
      </c>
      <c r="S338" s="9">
        <f>IF(OR(Dashboard_Query[[#This Row],[Monthly Allowance]]="",Dashboard_Query[[#This Row],[Current Usage]]=""),"",Dashboard_Query[[#This Row],[Current Usage]]/Dashboard_Query[[#This Row],[Monthly Allowance]])</f>
        <v>0</v>
      </c>
      <c r="T338" s="9">
        <f>IF(Dashboard_Query[[#This Row],[% Used]]="","",1-Dashboard_Query[[#This Row],[% Used]])</f>
        <v>1</v>
      </c>
      <c r="U338" s="4">
        <f>IF(OR(Dashboard_Query[[#This Row],[Monthly Allowance]]="",Dashboard_Query[[#This Row],[Current Usage]]=""),"",MAX(0,Dashboard_Query[[#This Row],[Current Usage]]-Dashboard_Query[[#This Row],[Monthly Allowance]]))</f>
        <v>0</v>
      </c>
      <c r="V338" s="4" t="str">
        <f>IF(Dashboard_Query[[#This Row],[Monthly Allowance]]="","",IF(Dashboard_Query[[#This Row],[Overage]]&gt;0,"OVER",IF(Dashboard_Query[[#This Row],[% Used]]&gt;=0.8,"WARNING","OK")))</f>
        <v>OK</v>
      </c>
    </row>
    <row r="339" spans="1:22" hidden="1">
      <c r="A339" s="4" t="s">
        <v>465</v>
      </c>
      <c r="B339" s="4">
        <v>816414</v>
      </c>
      <c r="C339" s="4"/>
      <c r="D339" s="4"/>
      <c r="E339" s="4"/>
      <c r="F339" s="4"/>
      <c r="G339" s="6"/>
      <c r="H339" s="6"/>
      <c r="I339" s="32"/>
      <c r="J339" s="1"/>
      <c r="K339" s="4">
        <v>500</v>
      </c>
      <c r="L339" s="4" t="s">
        <v>122</v>
      </c>
      <c r="M339" s="4" t="s">
        <v>35</v>
      </c>
      <c r="N339" s="6"/>
      <c r="O339" s="1"/>
      <c r="P339" s="4">
        <v>0</v>
      </c>
      <c r="Q339" s="4">
        <v>0</v>
      </c>
      <c r="R339" s="4">
        <f>IF(
    OR(Dashboard_Query[[#This Row],[Monthly Allowance]]="",Dashboard_Query[[#This Row],[Current Usage]]=""),
    "",
    MAX(0,Dashboard_Query[[#This Row],[Monthly Allowance]]-Dashboard_Query[[#This Row],[Current Usage]])
)</f>
        <v>500</v>
      </c>
      <c r="S339" s="9">
        <f>IF(OR(Dashboard_Query[[#This Row],[Monthly Allowance]]="",Dashboard_Query[[#This Row],[Current Usage]]=""),"",Dashboard_Query[[#This Row],[Current Usage]]/Dashboard_Query[[#This Row],[Monthly Allowance]])</f>
        <v>0</v>
      </c>
      <c r="T339" s="9">
        <f>IF(Dashboard_Query[[#This Row],[% Used]]="","",1-Dashboard_Query[[#This Row],[% Used]])</f>
        <v>1</v>
      </c>
      <c r="U339" s="4">
        <f>IF(OR(Dashboard_Query[[#This Row],[Monthly Allowance]]="",Dashboard_Query[[#This Row],[Current Usage]]=""),"",MAX(0,Dashboard_Query[[#This Row],[Current Usage]]-Dashboard_Query[[#This Row],[Monthly Allowance]]))</f>
        <v>0</v>
      </c>
      <c r="V339" s="4" t="str">
        <f>IF(Dashboard_Query[[#This Row],[Monthly Allowance]]="","",IF(Dashboard_Query[[#This Row],[Overage]]&gt;0,"OVER",IF(Dashboard_Query[[#This Row],[% Used]]&gt;=0.8,"WARNING","OK")))</f>
        <v>OK</v>
      </c>
    </row>
    <row r="340" spans="1:22" hidden="1">
      <c r="A340" s="4" t="s">
        <v>433</v>
      </c>
      <c r="B340" s="4">
        <v>816382</v>
      </c>
      <c r="C340" s="4"/>
      <c r="D340" s="4"/>
      <c r="E340" s="4"/>
      <c r="F340" s="4"/>
      <c r="G340" s="6"/>
      <c r="H340" s="6"/>
      <c r="I340" s="32"/>
      <c r="J340" s="1"/>
      <c r="K340" s="4">
        <v>500</v>
      </c>
      <c r="L340" s="4" t="s">
        <v>122</v>
      </c>
      <c r="M340" s="4" t="s">
        <v>35</v>
      </c>
      <c r="N340" s="6"/>
      <c r="O340" s="1"/>
      <c r="P340" s="4">
        <v>0</v>
      </c>
      <c r="Q340" s="4">
        <v>0</v>
      </c>
      <c r="R340" s="4">
        <f>IF(
    OR(Dashboard_Query[[#This Row],[Monthly Allowance]]="",Dashboard_Query[[#This Row],[Current Usage]]=""),
    "",
    MAX(0,Dashboard_Query[[#This Row],[Monthly Allowance]]-Dashboard_Query[[#This Row],[Current Usage]])
)</f>
        <v>500</v>
      </c>
      <c r="S340" s="9">
        <f>IF(OR(Dashboard_Query[[#This Row],[Monthly Allowance]]="",Dashboard_Query[[#This Row],[Current Usage]]=""),"",Dashboard_Query[[#This Row],[Current Usage]]/Dashboard_Query[[#This Row],[Monthly Allowance]])</f>
        <v>0</v>
      </c>
      <c r="T340" s="9">
        <f>IF(Dashboard_Query[[#This Row],[% Used]]="","",1-Dashboard_Query[[#This Row],[% Used]])</f>
        <v>1</v>
      </c>
      <c r="U340" s="4">
        <f>IF(OR(Dashboard_Query[[#This Row],[Monthly Allowance]]="",Dashboard_Query[[#This Row],[Current Usage]]=""),"",MAX(0,Dashboard_Query[[#This Row],[Current Usage]]-Dashboard_Query[[#This Row],[Monthly Allowance]]))</f>
        <v>0</v>
      </c>
      <c r="V340" s="4" t="str">
        <f>IF(Dashboard_Query[[#This Row],[Monthly Allowance]]="","",IF(Dashboard_Query[[#This Row],[Overage]]&gt;0,"OVER",IF(Dashboard_Query[[#This Row],[% Used]]&gt;=0.8,"WARNING","OK")))</f>
        <v>OK</v>
      </c>
    </row>
    <row r="341" spans="1:22" hidden="1">
      <c r="A341" s="4" t="s">
        <v>428</v>
      </c>
      <c r="B341" s="4">
        <v>816377</v>
      </c>
      <c r="C341" s="4"/>
      <c r="D341" s="4"/>
      <c r="E341" s="4"/>
      <c r="F341" s="4"/>
      <c r="G341" s="6"/>
      <c r="H341" s="6"/>
      <c r="I341" s="32"/>
      <c r="J341" s="1"/>
      <c r="K341" s="4">
        <v>500</v>
      </c>
      <c r="L341" s="4" t="s">
        <v>122</v>
      </c>
      <c r="M341" s="4" t="s">
        <v>35</v>
      </c>
      <c r="N341" s="6"/>
      <c r="O341" s="1"/>
      <c r="P341" s="4">
        <v>0</v>
      </c>
      <c r="Q341" s="4">
        <v>0</v>
      </c>
      <c r="R341" s="4">
        <f>IF(
    OR(Dashboard_Query[[#This Row],[Monthly Allowance]]="",Dashboard_Query[[#This Row],[Current Usage]]=""),
    "",
    MAX(0,Dashboard_Query[[#This Row],[Monthly Allowance]]-Dashboard_Query[[#This Row],[Current Usage]])
)</f>
        <v>500</v>
      </c>
      <c r="S341" s="9">
        <f>IF(OR(Dashboard_Query[[#This Row],[Monthly Allowance]]="",Dashboard_Query[[#This Row],[Current Usage]]=""),"",Dashboard_Query[[#This Row],[Current Usage]]/Dashboard_Query[[#This Row],[Monthly Allowance]])</f>
        <v>0</v>
      </c>
      <c r="T341" s="9">
        <f>IF(Dashboard_Query[[#This Row],[% Used]]="","",1-Dashboard_Query[[#This Row],[% Used]])</f>
        <v>1</v>
      </c>
      <c r="U341" s="4">
        <f>IF(OR(Dashboard_Query[[#This Row],[Monthly Allowance]]="",Dashboard_Query[[#This Row],[Current Usage]]=""),"",MAX(0,Dashboard_Query[[#This Row],[Current Usage]]-Dashboard_Query[[#This Row],[Monthly Allowance]]))</f>
        <v>0</v>
      </c>
      <c r="V341" s="4" t="str">
        <f>IF(Dashboard_Query[[#This Row],[Monthly Allowance]]="","",IF(Dashboard_Query[[#This Row],[Overage]]&gt;0,"OVER",IF(Dashboard_Query[[#This Row],[% Used]]&gt;=0.8,"WARNING","OK")))</f>
        <v>OK</v>
      </c>
    </row>
    <row r="342" spans="1:22" hidden="1">
      <c r="A342" s="4" t="s">
        <v>443</v>
      </c>
      <c r="B342" s="4">
        <v>816392</v>
      </c>
      <c r="C342" s="4"/>
      <c r="D342" s="4"/>
      <c r="E342" s="4"/>
      <c r="F342" s="4"/>
      <c r="G342" s="6"/>
      <c r="H342" s="6"/>
      <c r="I342" s="32"/>
      <c r="J342" s="1"/>
      <c r="K342" s="4">
        <v>500</v>
      </c>
      <c r="L342" s="4" t="s">
        <v>122</v>
      </c>
      <c r="M342" s="4" t="s">
        <v>35</v>
      </c>
      <c r="N342" s="6"/>
      <c r="O342" s="1"/>
      <c r="P342" s="4">
        <v>0</v>
      </c>
      <c r="Q342" s="4">
        <v>0</v>
      </c>
      <c r="R342" s="4">
        <f>IF(
    OR(Dashboard_Query[[#This Row],[Monthly Allowance]]="",Dashboard_Query[[#This Row],[Current Usage]]=""),
    "",
    MAX(0,Dashboard_Query[[#This Row],[Monthly Allowance]]-Dashboard_Query[[#This Row],[Current Usage]])
)</f>
        <v>500</v>
      </c>
      <c r="S342" s="9">
        <f>IF(OR(Dashboard_Query[[#This Row],[Monthly Allowance]]="",Dashboard_Query[[#This Row],[Current Usage]]=""),"",Dashboard_Query[[#This Row],[Current Usage]]/Dashboard_Query[[#This Row],[Monthly Allowance]])</f>
        <v>0</v>
      </c>
      <c r="T342" s="9">
        <f>IF(Dashboard_Query[[#This Row],[% Used]]="","",1-Dashboard_Query[[#This Row],[% Used]])</f>
        <v>1</v>
      </c>
      <c r="U342" s="4">
        <f>IF(OR(Dashboard_Query[[#This Row],[Monthly Allowance]]="",Dashboard_Query[[#This Row],[Current Usage]]=""),"",MAX(0,Dashboard_Query[[#This Row],[Current Usage]]-Dashboard_Query[[#This Row],[Monthly Allowance]]))</f>
        <v>0</v>
      </c>
      <c r="V342" s="4" t="str">
        <f>IF(Dashboard_Query[[#This Row],[Monthly Allowance]]="","",IF(Dashboard_Query[[#This Row],[Overage]]&gt;0,"OVER",IF(Dashboard_Query[[#This Row],[% Used]]&gt;=0.8,"WARNING","OK")))</f>
        <v>OK</v>
      </c>
    </row>
    <row r="343" spans="1:22" hidden="1">
      <c r="A343" s="4" t="s">
        <v>418</v>
      </c>
      <c r="B343" s="4">
        <v>816367</v>
      </c>
      <c r="C343" s="4"/>
      <c r="D343" s="4"/>
      <c r="E343" s="4"/>
      <c r="F343" s="4"/>
      <c r="G343" s="6"/>
      <c r="H343" s="6"/>
      <c r="I343" s="32"/>
      <c r="J343" s="1"/>
      <c r="K343" s="4">
        <v>500</v>
      </c>
      <c r="L343" s="4" t="s">
        <v>122</v>
      </c>
      <c r="M343" s="4" t="s">
        <v>35</v>
      </c>
      <c r="N343" s="6"/>
      <c r="O343" s="1"/>
      <c r="P343" s="4">
        <v>0</v>
      </c>
      <c r="Q343" s="4">
        <v>0</v>
      </c>
      <c r="R343" s="4">
        <f>IF(
    OR(Dashboard_Query[[#This Row],[Monthly Allowance]]="",Dashboard_Query[[#This Row],[Current Usage]]=""),
    "",
    MAX(0,Dashboard_Query[[#This Row],[Monthly Allowance]]-Dashboard_Query[[#This Row],[Current Usage]])
)</f>
        <v>500</v>
      </c>
      <c r="S343" s="9">
        <f>IF(OR(Dashboard_Query[[#This Row],[Monthly Allowance]]="",Dashboard_Query[[#This Row],[Current Usage]]=""),"",Dashboard_Query[[#This Row],[Current Usage]]/Dashboard_Query[[#This Row],[Monthly Allowance]])</f>
        <v>0</v>
      </c>
      <c r="T343" s="9">
        <f>IF(Dashboard_Query[[#This Row],[% Used]]="","",1-Dashboard_Query[[#This Row],[% Used]])</f>
        <v>1</v>
      </c>
      <c r="U343" s="4">
        <f>IF(OR(Dashboard_Query[[#This Row],[Monthly Allowance]]="",Dashboard_Query[[#This Row],[Current Usage]]=""),"",MAX(0,Dashboard_Query[[#This Row],[Current Usage]]-Dashboard_Query[[#This Row],[Monthly Allowance]]))</f>
        <v>0</v>
      </c>
      <c r="V343" s="4" t="str">
        <f>IF(Dashboard_Query[[#This Row],[Monthly Allowance]]="","",IF(Dashboard_Query[[#This Row],[Overage]]&gt;0,"OVER",IF(Dashboard_Query[[#This Row],[% Used]]&gt;=0.8,"WARNING","OK")))</f>
        <v>OK</v>
      </c>
    </row>
    <row r="344" spans="1:22" hidden="1">
      <c r="A344" s="4" t="s">
        <v>435</v>
      </c>
      <c r="B344" s="4">
        <v>816384</v>
      </c>
      <c r="C344" s="4"/>
      <c r="D344" s="4"/>
      <c r="E344" s="4"/>
      <c r="F344" s="4"/>
      <c r="G344" s="6"/>
      <c r="H344" s="6"/>
      <c r="I344" s="32"/>
      <c r="J344" s="1"/>
      <c r="K344" s="4">
        <v>500</v>
      </c>
      <c r="L344" s="4" t="s">
        <v>122</v>
      </c>
      <c r="M344" s="4" t="s">
        <v>35</v>
      </c>
      <c r="N344" s="6"/>
      <c r="O344" s="1"/>
      <c r="P344" s="4">
        <v>0</v>
      </c>
      <c r="Q344" s="4">
        <v>0</v>
      </c>
      <c r="R344" s="4">
        <f>IF(
    OR(Dashboard_Query[[#This Row],[Monthly Allowance]]="",Dashboard_Query[[#This Row],[Current Usage]]=""),
    "",
    MAX(0,Dashboard_Query[[#This Row],[Monthly Allowance]]-Dashboard_Query[[#This Row],[Current Usage]])
)</f>
        <v>500</v>
      </c>
      <c r="S344" s="9">
        <f>IF(OR(Dashboard_Query[[#This Row],[Monthly Allowance]]="",Dashboard_Query[[#This Row],[Current Usage]]=""),"",Dashboard_Query[[#This Row],[Current Usage]]/Dashboard_Query[[#This Row],[Monthly Allowance]])</f>
        <v>0</v>
      </c>
      <c r="T344" s="9">
        <f>IF(Dashboard_Query[[#This Row],[% Used]]="","",1-Dashboard_Query[[#This Row],[% Used]])</f>
        <v>1</v>
      </c>
      <c r="U344" s="4">
        <f>IF(OR(Dashboard_Query[[#This Row],[Monthly Allowance]]="",Dashboard_Query[[#This Row],[Current Usage]]=""),"",MAX(0,Dashboard_Query[[#This Row],[Current Usage]]-Dashboard_Query[[#This Row],[Monthly Allowance]]))</f>
        <v>0</v>
      </c>
      <c r="V344" s="4" t="str">
        <f>IF(Dashboard_Query[[#This Row],[Monthly Allowance]]="","",IF(Dashboard_Query[[#This Row],[Overage]]&gt;0,"OVER",IF(Dashboard_Query[[#This Row],[% Used]]&gt;=0.8,"WARNING","OK")))</f>
        <v>OK</v>
      </c>
    </row>
    <row r="345" spans="1:22" hidden="1">
      <c r="A345" s="4" t="s">
        <v>463</v>
      </c>
      <c r="B345" s="4">
        <v>816412</v>
      </c>
      <c r="C345" s="4"/>
      <c r="D345" s="4"/>
      <c r="E345" s="4"/>
      <c r="F345" s="4"/>
      <c r="G345" s="6"/>
      <c r="H345" s="6"/>
      <c r="I345" s="32"/>
      <c r="J345" s="1"/>
      <c r="K345" s="4">
        <v>500</v>
      </c>
      <c r="L345" s="4" t="s">
        <v>122</v>
      </c>
      <c r="M345" s="4" t="s">
        <v>35</v>
      </c>
      <c r="N345" s="6"/>
      <c r="O345" s="1"/>
      <c r="P345" s="4">
        <v>0</v>
      </c>
      <c r="Q345" s="4">
        <v>0</v>
      </c>
      <c r="R345" s="4">
        <f>IF(
    OR(Dashboard_Query[[#This Row],[Monthly Allowance]]="",Dashboard_Query[[#This Row],[Current Usage]]=""),
    "",
    MAX(0,Dashboard_Query[[#This Row],[Monthly Allowance]]-Dashboard_Query[[#This Row],[Current Usage]])
)</f>
        <v>500</v>
      </c>
      <c r="S345" s="9">
        <f>IF(OR(Dashboard_Query[[#This Row],[Monthly Allowance]]="",Dashboard_Query[[#This Row],[Current Usage]]=""),"",Dashboard_Query[[#This Row],[Current Usage]]/Dashboard_Query[[#This Row],[Monthly Allowance]])</f>
        <v>0</v>
      </c>
      <c r="T345" s="9">
        <f>IF(Dashboard_Query[[#This Row],[% Used]]="","",1-Dashboard_Query[[#This Row],[% Used]])</f>
        <v>1</v>
      </c>
      <c r="U345" s="4">
        <f>IF(OR(Dashboard_Query[[#This Row],[Monthly Allowance]]="",Dashboard_Query[[#This Row],[Current Usage]]=""),"",MAX(0,Dashboard_Query[[#This Row],[Current Usage]]-Dashboard_Query[[#This Row],[Monthly Allowance]]))</f>
        <v>0</v>
      </c>
      <c r="V345" s="4" t="str">
        <f>IF(Dashboard_Query[[#This Row],[Monthly Allowance]]="","",IF(Dashboard_Query[[#This Row],[Overage]]&gt;0,"OVER",IF(Dashboard_Query[[#This Row],[% Used]]&gt;=0.8,"WARNING","OK")))</f>
        <v>OK</v>
      </c>
    </row>
    <row r="346" spans="1:22" hidden="1">
      <c r="A346" s="4" t="s">
        <v>448</v>
      </c>
      <c r="B346" s="4">
        <v>816397</v>
      </c>
      <c r="C346" s="4"/>
      <c r="D346" s="4"/>
      <c r="E346" s="4"/>
      <c r="F346" s="4"/>
      <c r="G346" s="6"/>
      <c r="H346" s="6"/>
      <c r="I346" s="32"/>
      <c r="J346" s="1"/>
      <c r="K346" s="4">
        <v>500</v>
      </c>
      <c r="L346" s="4" t="s">
        <v>122</v>
      </c>
      <c r="M346" s="4" t="s">
        <v>35</v>
      </c>
      <c r="N346" s="6"/>
      <c r="O346" s="1"/>
      <c r="P346" s="4">
        <v>0</v>
      </c>
      <c r="Q346" s="4">
        <v>0</v>
      </c>
      <c r="R346" s="4">
        <f>IF(
    OR(Dashboard_Query[[#This Row],[Monthly Allowance]]="",Dashboard_Query[[#This Row],[Current Usage]]=""),
    "",
    MAX(0,Dashboard_Query[[#This Row],[Monthly Allowance]]-Dashboard_Query[[#This Row],[Current Usage]])
)</f>
        <v>500</v>
      </c>
      <c r="S346" s="9">
        <f>IF(OR(Dashboard_Query[[#This Row],[Monthly Allowance]]="",Dashboard_Query[[#This Row],[Current Usage]]=""),"",Dashboard_Query[[#This Row],[Current Usage]]/Dashboard_Query[[#This Row],[Monthly Allowance]])</f>
        <v>0</v>
      </c>
      <c r="T346" s="9">
        <f>IF(Dashboard_Query[[#This Row],[% Used]]="","",1-Dashboard_Query[[#This Row],[% Used]])</f>
        <v>1</v>
      </c>
      <c r="U346" s="4">
        <f>IF(OR(Dashboard_Query[[#This Row],[Monthly Allowance]]="",Dashboard_Query[[#This Row],[Current Usage]]=""),"",MAX(0,Dashboard_Query[[#This Row],[Current Usage]]-Dashboard_Query[[#This Row],[Monthly Allowance]]))</f>
        <v>0</v>
      </c>
      <c r="V346" s="4" t="str">
        <f>IF(Dashboard_Query[[#This Row],[Monthly Allowance]]="","",IF(Dashboard_Query[[#This Row],[Overage]]&gt;0,"OVER",IF(Dashboard_Query[[#This Row],[% Used]]&gt;=0.8,"WARNING","OK")))</f>
        <v>OK</v>
      </c>
    </row>
    <row r="347" spans="1:22" hidden="1">
      <c r="A347" s="4" t="s">
        <v>439</v>
      </c>
      <c r="B347" s="4">
        <v>816388</v>
      </c>
      <c r="C347" s="4"/>
      <c r="D347" s="4"/>
      <c r="E347" s="4"/>
      <c r="F347" s="4"/>
      <c r="G347" s="6"/>
      <c r="H347" s="6"/>
      <c r="I347" s="32"/>
      <c r="J347" s="1"/>
      <c r="K347" s="4">
        <v>500</v>
      </c>
      <c r="L347" s="4" t="s">
        <v>122</v>
      </c>
      <c r="M347" s="4" t="s">
        <v>35</v>
      </c>
      <c r="N347" s="6"/>
      <c r="O347" s="1"/>
      <c r="P347" s="4">
        <v>0</v>
      </c>
      <c r="Q347" s="4">
        <v>0</v>
      </c>
      <c r="R347" s="4">
        <f>IF(
    OR(Dashboard_Query[[#This Row],[Monthly Allowance]]="",Dashboard_Query[[#This Row],[Current Usage]]=""),
    "",
    MAX(0,Dashboard_Query[[#This Row],[Monthly Allowance]]-Dashboard_Query[[#This Row],[Current Usage]])
)</f>
        <v>500</v>
      </c>
      <c r="S347" s="9">
        <f>IF(OR(Dashboard_Query[[#This Row],[Monthly Allowance]]="",Dashboard_Query[[#This Row],[Current Usage]]=""),"",Dashboard_Query[[#This Row],[Current Usage]]/Dashboard_Query[[#This Row],[Monthly Allowance]])</f>
        <v>0</v>
      </c>
      <c r="T347" s="9">
        <f>IF(Dashboard_Query[[#This Row],[% Used]]="","",1-Dashboard_Query[[#This Row],[% Used]])</f>
        <v>1</v>
      </c>
      <c r="U347" s="4">
        <f>IF(OR(Dashboard_Query[[#This Row],[Monthly Allowance]]="",Dashboard_Query[[#This Row],[Current Usage]]=""),"",MAX(0,Dashboard_Query[[#This Row],[Current Usage]]-Dashboard_Query[[#This Row],[Monthly Allowance]]))</f>
        <v>0</v>
      </c>
      <c r="V347" s="4" t="str">
        <f>IF(Dashboard_Query[[#This Row],[Monthly Allowance]]="","",IF(Dashboard_Query[[#This Row],[Overage]]&gt;0,"OVER",IF(Dashboard_Query[[#This Row],[% Used]]&gt;=0.8,"WARNING","OK")))</f>
        <v>OK</v>
      </c>
    </row>
    <row r="348" spans="1:22" hidden="1">
      <c r="A348" s="4" t="s">
        <v>420</v>
      </c>
      <c r="B348" s="4">
        <v>816369</v>
      </c>
      <c r="C348" s="4"/>
      <c r="D348" s="4"/>
      <c r="E348" s="4"/>
      <c r="F348" s="4"/>
      <c r="G348" s="6"/>
      <c r="H348" s="6"/>
      <c r="I348" s="32"/>
      <c r="J348" s="1"/>
      <c r="K348" s="4">
        <v>500</v>
      </c>
      <c r="L348" s="4" t="s">
        <v>122</v>
      </c>
      <c r="M348" s="4" t="s">
        <v>35</v>
      </c>
      <c r="N348" s="6"/>
      <c r="O348" s="1"/>
      <c r="P348" s="4">
        <v>0</v>
      </c>
      <c r="Q348" s="4">
        <v>0</v>
      </c>
      <c r="R348" s="4">
        <f>IF(
    OR(Dashboard_Query[[#This Row],[Monthly Allowance]]="",Dashboard_Query[[#This Row],[Current Usage]]=""),
    "",
    MAX(0,Dashboard_Query[[#This Row],[Monthly Allowance]]-Dashboard_Query[[#This Row],[Current Usage]])
)</f>
        <v>500</v>
      </c>
      <c r="S348" s="9">
        <f>IF(OR(Dashboard_Query[[#This Row],[Monthly Allowance]]="",Dashboard_Query[[#This Row],[Current Usage]]=""),"",Dashboard_Query[[#This Row],[Current Usage]]/Dashboard_Query[[#This Row],[Monthly Allowance]])</f>
        <v>0</v>
      </c>
      <c r="T348" s="9">
        <f>IF(Dashboard_Query[[#This Row],[% Used]]="","",1-Dashboard_Query[[#This Row],[% Used]])</f>
        <v>1</v>
      </c>
      <c r="U348" s="4">
        <f>IF(OR(Dashboard_Query[[#This Row],[Monthly Allowance]]="",Dashboard_Query[[#This Row],[Current Usage]]=""),"",MAX(0,Dashboard_Query[[#This Row],[Current Usage]]-Dashboard_Query[[#This Row],[Monthly Allowance]]))</f>
        <v>0</v>
      </c>
      <c r="V348" s="4" t="str">
        <f>IF(Dashboard_Query[[#This Row],[Monthly Allowance]]="","",IF(Dashboard_Query[[#This Row],[Overage]]&gt;0,"OVER",IF(Dashboard_Query[[#This Row],[% Used]]&gt;=0.8,"WARNING","OK")))</f>
        <v>OK</v>
      </c>
    </row>
    <row r="349" spans="1:22" hidden="1">
      <c r="A349" s="4" t="s">
        <v>438</v>
      </c>
      <c r="B349" s="4">
        <v>816387</v>
      </c>
      <c r="C349" s="4"/>
      <c r="D349" s="4"/>
      <c r="E349" s="4"/>
      <c r="F349" s="4"/>
      <c r="G349" s="6"/>
      <c r="H349" s="6"/>
      <c r="I349" s="32"/>
      <c r="J349" s="1"/>
      <c r="K349" s="4">
        <v>500</v>
      </c>
      <c r="L349" s="4" t="s">
        <v>122</v>
      </c>
      <c r="M349" s="4" t="s">
        <v>35</v>
      </c>
      <c r="N349" s="6"/>
      <c r="O349" s="1"/>
      <c r="P349" s="4">
        <v>0</v>
      </c>
      <c r="Q349" s="4">
        <v>0</v>
      </c>
      <c r="R349" s="4">
        <f>IF(
    OR(Dashboard_Query[[#This Row],[Monthly Allowance]]="",Dashboard_Query[[#This Row],[Current Usage]]=""),
    "",
    MAX(0,Dashboard_Query[[#This Row],[Monthly Allowance]]-Dashboard_Query[[#This Row],[Current Usage]])
)</f>
        <v>500</v>
      </c>
      <c r="S349" s="9">
        <f>IF(OR(Dashboard_Query[[#This Row],[Monthly Allowance]]="",Dashboard_Query[[#This Row],[Current Usage]]=""),"",Dashboard_Query[[#This Row],[Current Usage]]/Dashboard_Query[[#This Row],[Monthly Allowance]])</f>
        <v>0</v>
      </c>
      <c r="T349" s="9">
        <f>IF(Dashboard_Query[[#This Row],[% Used]]="","",1-Dashboard_Query[[#This Row],[% Used]])</f>
        <v>1</v>
      </c>
      <c r="U349" s="4">
        <f>IF(OR(Dashboard_Query[[#This Row],[Monthly Allowance]]="",Dashboard_Query[[#This Row],[Current Usage]]=""),"",MAX(0,Dashboard_Query[[#This Row],[Current Usage]]-Dashboard_Query[[#This Row],[Monthly Allowance]]))</f>
        <v>0</v>
      </c>
      <c r="V349" s="4" t="str">
        <f>IF(Dashboard_Query[[#This Row],[Monthly Allowance]]="","",IF(Dashboard_Query[[#This Row],[Overage]]&gt;0,"OVER",IF(Dashboard_Query[[#This Row],[% Used]]&gt;=0.8,"WARNING","OK")))</f>
        <v>OK</v>
      </c>
    </row>
    <row r="350" spans="1:22" hidden="1">
      <c r="A350" s="4" t="s">
        <v>436</v>
      </c>
      <c r="B350" s="4">
        <v>816385</v>
      </c>
      <c r="C350" s="4"/>
      <c r="D350" s="4"/>
      <c r="E350" s="4"/>
      <c r="F350" s="4"/>
      <c r="G350" s="6"/>
      <c r="H350" s="6"/>
      <c r="I350" s="32"/>
      <c r="J350" s="1"/>
      <c r="K350" s="4">
        <v>500</v>
      </c>
      <c r="L350" s="4" t="s">
        <v>122</v>
      </c>
      <c r="M350" s="4" t="s">
        <v>35</v>
      </c>
      <c r="N350" s="6"/>
      <c r="O350" s="1"/>
      <c r="P350" s="4">
        <v>0</v>
      </c>
      <c r="Q350" s="4">
        <v>0</v>
      </c>
      <c r="R350" s="4">
        <f>IF(
    OR(Dashboard_Query[[#This Row],[Monthly Allowance]]="",Dashboard_Query[[#This Row],[Current Usage]]=""),
    "",
    MAX(0,Dashboard_Query[[#This Row],[Monthly Allowance]]-Dashboard_Query[[#This Row],[Current Usage]])
)</f>
        <v>500</v>
      </c>
      <c r="S350" s="9">
        <f>IF(OR(Dashboard_Query[[#This Row],[Monthly Allowance]]="",Dashboard_Query[[#This Row],[Current Usage]]=""),"",Dashboard_Query[[#This Row],[Current Usage]]/Dashboard_Query[[#This Row],[Monthly Allowance]])</f>
        <v>0</v>
      </c>
      <c r="T350" s="9">
        <f>IF(Dashboard_Query[[#This Row],[% Used]]="","",1-Dashboard_Query[[#This Row],[% Used]])</f>
        <v>1</v>
      </c>
      <c r="U350" s="4">
        <f>IF(OR(Dashboard_Query[[#This Row],[Monthly Allowance]]="",Dashboard_Query[[#This Row],[Current Usage]]=""),"",MAX(0,Dashboard_Query[[#This Row],[Current Usage]]-Dashboard_Query[[#This Row],[Monthly Allowance]]))</f>
        <v>0</v>
      </c>
      <c r="V350" s="4" t="str">
        <f>IF(Dashboard_Query[[#This Row],[Monthly Allowance]]="","",IF(Dashboard_Query[[#This Row],[Overage]]&gt;0,"OVER",IF(Dashboard_Query[[#This Row],[% Used]]&gt;=0.8,"WARNING","OK")))</f>
        <v>OK</v>
      </c>
    </row>
    <row r="351" spans="1:22" hidden="1">
      <c r="A351" s="4" t="s">
        <v>430</v>
      </c>
      <c r="B351" s="4">
        <v>816379</v>
      </c>
      <c r="C351" s="4"/>
      <c r="D351" s="4"/>
      <c r="E351" s="4"/>
      <c r="F351" s="4"/>
      <c r="G351" s="6"/>
      <c r="H351" s="6"/>
      <c r="I351" s="32"/>
      <c r="J351" s="1"/>
      <c r="K351" s="4">
        <v>500</v>
      </c>
      <c r="L351" s="4" t="s">
        <v>122</v>
      </c>
      <c r="M351" s="4" t="s">
        <v>35</v>
      </c>
      <c r="N351" s="6"/>
      <c r="O351" s="1"/>
      <c r="P351" s="4">
        <v>0</v>
      </c>
      <c r="Q351" s="4">
        <v>0</v>
      </c>
      <c r="R351" s="4">
        <f>IF(
    OR(Dashboard_Query[[#This Row],[Monthly Allowance]]="",Dashboard_Query[[#This Row],[Current Usage]]=""),
    "",
    MAX(0,Dashboard_Query[[#This Row],[Monthly Allowance]]-Dashboard_Query[[#This Row],[Current Usage]])
)</f>
        <v>500</v>
      </c>
      <c r="S351" s="9">
        <f>IF(OR(Dashboard_Query[[#This Row],[Monthly Allowance]]="",Dashboard_Query[[#This Row],[Current Usage]]=""),"",Dashboard_Query[[#This Row],[Current Usage]]/Dashboard_Query[[#This Row],[Monthly Allowance]])</f>
        <v>0</v>
      </c>
      <c r="T351" s="9">
        <f>IF(Dashboard_Query[[#This Row],[% Used]]="","",1-Dashboard_Query[[#This Row],[% Used]])</f>
        <v>1</v>
      </c>
      <c r="U351" s="4">
        <f>IF(OR(Dashboard_Query[[#This Row],[Monthly Allowance]]="",Dashboard_Query[[#This Row],[Current Usage]]=""),"",MAX(0,Dashboard_Query[[#This Row],[Current Usage]]-Dashboard_Query[[#This Row],[Monthly Allowance]]))</f>
        <v>0</v>
      </c>
      <c r="V351" s="4" t="str">
        <f>IF(Dashboard_Query[[#This Row],[Monthly Allowance]]="","",IF(Dashboard_Query[[#This Row],[Overage]]&gt;0,"OVER",IF(Dashboard_Query[[#This Row],[% Used]]&gt;=0.8,"WARNING","OK")))</f>
        <v>OK</v>
      </c>
    </row>
    <row r="352" spans="1:22" hidden="1">
      <c r="A352" s="4" t="s">
        <v>437</v>
      </c>
      <c r="B352" s="4">
        <v>816386</v>
      </c>
      <c r="C352" s="4"/>
      <c r="D352" s="4"/>
      <c r="E352" s="4"/>
      <c r="F352" s="4"/>
      <c r="G352" s="6"/>
      <c r="H352" s="6"/>
      <c r="I352" s="32"/>
      <c r="J352" s="1"/>
      <c r="K352" s="4">
        <v>500</v>
      </c>
      <c r="L352" s="4" t="s">
        <v>122</v>
      </c>
      <c r="M352" s="4" t="s">
        <v>35</v>
      </c>
      <c r="N352" s="6"/>
      <c r="O352" s="1"/>
      <c r="P352" s="4">
        <v>0</v>
      </c>
      <c r="Q352" s="4">
        <v>0</v>
      </c>
      <c r="R352" s="4">
        <f>IF(
    OR(Dashboard_Query[[#This Row],[Monthly Allowance]]="",Dashboard_Query[[#This Row],[Current Usage]]=""),
    "",
    MAX(0,Dashboard_Query[[#This Row],[Monthly Allowance]]-Dashboard_Query[[#This Row],[Current Usage]])
)</f>
        <v>500</v>
      </c>
      <c r="S352" s="9">
        <f>IF(OR(Dashboard_Query[[#This Row],[Monthly Allowance]]="",Dashboard_Query[[#This Row],[Current Usage]]=""),"",Dashboard_Query[[#This Row],[Current Usage]]/Dashboard_Query[[#This Row],[Monthly Allowance]])</f>
        <v>0</v>
      </c>
      <c r="T352" s="9">
        <f>IF(Dashboard_Query[[#This Row],[% Used]]="","",1-Dashboard_Query[[#This Row],[% Used]])</f>
        <v>1</v>
      </c>
      <c r="U352" s="4">
        <f>IF(OR(Dashboard_Query[[#This Row],[Monthly Allowance]]="",Dashboard_Query[[#This Row],[Current Usage]]=""),"",MAX(0,Dashboard_Query[[#This Row],[Current Usage]]-Dashboard_Query[[#This Row],[Monthly Allowance]]))</f>
        <v>0</v>
      </c>
      <c r="V352" s="4" t="str">
        <f>IF(Dashboard_Query[[#This Row],[Monthly Allowance]]="","",IF(Dashboard_Query[[#This Row],[Overage]]&gt;0,"OVER",IF(Dashboard_Query[[#This Row],[% Used]]&gt;=0.8,"WARNING","OK")))</f>
        <v>OK</v>
      </c>
    </row>
    <row r="353" spans="1:22" hidden="1">
      <c r="A353" s="4" t="s">
        <v>464</v>
      </c>
      <c r="B353" s="4">
        <v>816413</v>
      </c>
      <c r="C353" s="4"/>
      <c r="D353" s="4"/>
      <c r="E353" s="4"/>
      <c r="F353" s="4"/>
      <c r="G353" s="6"/>
      <c r="H353" s="6"/>
      <c r="I353" s="32"/>
      <c r="J353" s="1"/>
      <c r="K353" s="4">
        <v>500</v>
      </c>
      <c r="L353" s="4" t="s">
        <v>122</v>
      </c>
      <c r="M353" s="4" t="s">
        <v>35</v>
      </c>
      <c r="N353" s="6"/>
      <c r="O353" s="1"/>
      <c r="P353" s="4">
        <v>0</v>
      </c>
      <c r="Q353" s="4">
        <v>0</v>
      </c>
      <c r="R353" s="4">
        <f>IF(
    OR(Dashboard_Query[[#This Row],[Monthly Allowance]]="",Dashboard_Query[[#This Row],[Current Usage]]=""),
    "",
    MAX(0,Dashboard_Query[[#This Row],[Monthly Allowance]]-Dashboard_Query[[#This Row],[Current Usage]])
)</f>
        <v>500</v>
      </c>
      <c r="S353" s="9">
        <f>IF(OR(Dashboard_Query[[#This Row],[Monthly Allowance]]="",Dashboard_Query[[#This Row],[Current Usage]]=""),"",Dashboard_Query[[#This Row],[Current Usage]]/Dashboard_Query[[#This Row],[Monthly Allowance]])</f>
        <v>0</v>
      </c>
      <c r="T353" s="9">
        <f>IF(Dashboard_Query[[#This Row],[% Used]]="","",1-Dashboard_Query[[#This Row],[% Used]])</f>
        <v>1</v>
      </c>
      <c r="U353" s="4">
        <f>IF(OR(Dashboard_Query[[#This Row],[Monthly Allowance]]="",Dashboard_Query[[#This Row],[Current Usage]]=""),"",MAX(0,Dashboard_Query[[#This Row],[Current Usage]]-Dashboard_Query[[#This Row],[Monthly Allowance]]))</f>
        <v>0</v>
      </c>
      <c r="V353" s="4" t="str">
        <f>IF(Dashboard_Query[[#This Row],[Monthly Allowance]]="","",IF(Dashboard_Query[[#This Row],[Overage]]&gt;0,"OVER",IF(Dashboard_Query[[#This Row],[% Used]]&gt;=0.8,"WARNING","OK")))</f>
        <v>OK</v>
      </c>
    </row>
    <row r="354" spans="1:22" hidden="1">
      <c r="A354" s="4" t="s">
        <v>427</v>
      </c>
      <c r="B354" s="4">
        <v>816376</v>
      </c>
      <c r="C354" s="4"/>
      <c r="D354" s="4"/>
      <c r="E354" s="4"/>
      <c r="F354" s="4"/>
      <c r="G354" s="6"/>
      <c r="H354" s="6"/>
      <c r="I354" s="32"/>
      <c r="J354" s="1"/>
      <c r="K354" s="4">
        <v>500</v>
      </c>
      <c r="L354" s="4" t="s">
        <v>122</v>
      </c>
      <c r="M354" s="4" t="s">
        <v>35</v>
      </c>
      <c r="N354" s="6"/>
      <c r="O354" s="1"/>
      <c r="P354" s="4">
        <v>0</v>
      </c>
      <c r="Q354" s="4">
        <v>0</v>
      </c>
      <c r="R354" s="4">
        <f>IF(
    OR(Dashboard_Query[[#This Row],[Monthly Allowance]]="",Dashboard_Query[[#This Row],[Current Usage]]=""),
    "",
    MAX(0,Dashboard_Query[[#This Row],[Monthly Allowance]]-Dashboard_Query[[#This Row],[Current Usage]])
)</f>
        <v>500</v>
      </c>
      <c r="S354" s="9">
        <f>IF(OR(Dashboard_Query[[#This Row],[Monthly Allowance]]="",Dashboard_Query[[#This Row],[Current Usage]]=""),"",Dashboard_Query[[#This Row],[Current Usage]]/Dashboard_Query[[#This Row],[Monthly Allowance]])</f>
        <v>0</v>
      </c>
      <c r="T354" s="9">
        <f>IF(Dashboard_Query[[#This Row],[% Used]]="","",1-Dashboard_Query[[#This Row],[% Used]])</f>
        <v>1</v>
      </c>
      <c r="U354" s="4">
        <f>IF(OR(Dashboard_Query[[#This Row],[Monthly Allowance]]="",Dashboard_Query[[#This Row],[Current Usage]]=""),"",MAX(0,Dashboard_Query[[#This Row],[Current Usage]]-Dashboard_Query[[#This Row],[Monthly Allowance]]))</f>
        <v>0</v>
      </c>
      <c r="V354" s="4" t="str">
        <f>IF(Dashboard_Query[[#This Row],[Monthly Allowance]]="","",IF(Dashboard_Query[[#This Row],[Overage]]&gt;0,"OVER",IF(Dashboard_Query[[#This Row],[% Used]]&gt;=0.8,"WARNING","OK")))</f>
        <v>OK</v>
      </c>
    </row>
    <row r="355" spans="1:22" hidden="1">
      <c r="A355" s="4" t="s">
        <v>445</v>
      </c>
      <c r="B355" s="4">
        <v>816394</v>
      </c>
      <c r="C355" s="4"/>
      <c r="D355" s="4"/>
      <c r="E355" s="4"/>
      <c r="F355" s="4"/>
      <c r="G355" s="6"/>
      <c r="H355" s="6"/>
      <c r="I355" s="32"/>
      <c r="J355" s="1"/>
      <c r="K355" s="4">
        <v>500</v>
      </c>
      <c r="L355" s="4" t="s">
        <v>122</v>
      </c>
      <c r="M355" s="4" t="s">
        <v>35</v>
      </c>
      <c r="N355" s="6"/>
      <c r="O355" s="1"/>
      <c r="P355" s="4">
        <v>0</v>
      </c>
      <c r="Q355" s="4">
        <v>0</v>
      </c>
      <c r="R355" s="4">
        <f>IF(
    OR(Dashboard_Query[[#This Row],[Monthly Allowance]]="",Dashboard_Query[[#This Row],[Current Usage]]=""),
    "",
    MAX(0,Dashboard_Query[[#This Row],[Monthly Allowance]]-Dashboard_Query[[#This Row],[Current Usage]])
)</f>
        <v>500</v>
      </c>
      <c r="S355" s="9">
        <f>IF(OR(Dashboard_Query[[#This Row],[Monthly Allowance]]="",Dashboard_Query[[#This Row],[Current Usage]]=""),"",Dashboard_Query[[#This Row],[Current Usage]]/Dashboard_Query[[#This Row],[Monthly Allowance]])</f>
        <v>0</v>
      </c>
      <c r="T355" s="9">
        <f>IF(Dashboard_Query[[#This Row],[% Used]]="","",1-Dashboard_Query[[#This Row],[% Used]])</f>
        <v>1</v>
      </c>
      <c r="U355" s="4">
        <f>IF(OR(Dashboard_Query[[#This Row],[Monthly Allowance]]="",Dashboard_Query[[#This Row],[Current Usage]]=""),"",MAX(0,Dashboard_Query[[#This Row],[Current Usage]]-Dashboard_Query[[#This Row],[Monthly Allowance]]))</f>
        <v>0</v>
      </c>
      <c r="V355" s="4" t="str">
        <f>IF(Dashboard_Query[[#This Row],[Monthly Allowance]]="","",IF(Dashboard_Query[[#This Row],[Overage]]&gt;0,"OVER",IF(Dashboard_Query[[#This Row],[% Used]]&gt;=0.8,"WARNING","OK")))</f>
        <v>OK</v>
      </c>
    </row>
    <row r="356" spans="1:22">
      <c r="A356" s="4" t="s">
        <v>311</v>
      </c>
      <c r="B356" s="4">
        <v>812797</v>
      </c>
      <c r="C356" s="4" t="s">
        <v>383</v>
      </c>
      <c r="D356" s="4" t="s">
        <v>180</v>
      </c>
      <c r="E356" s="4" t="s">
        <v>384</v>
      </c>
      <c r="F356" s="4">
        <v>211121827</v>
      </c>
      <c r="G356" s="6">
        <v>46241</v>
      </c>
      <c r="H356" s="6">
        <v>46241</v>
      </c>
      <c r="I356" s="32">
        <v>46272</v>
      </c>
      <c r="J356" s="1">
        <v>14</v>
      </c>
      <c r="K356" s="4">
        <v>500</v>
      </c>
      <c r="L356" s="4" t="s">
        <v>122</v>
      </c>
      <c r="M356" s="4" t="s">
        <v>123</v>
      </c>
      <c r="N356" s="6">
        <v>46241</v>
      </c>
      <c r="O356" s="1"/>
      <c r="P356" s="4">
        <v>0.04</v>
      </c>
      <c r="Q356" s="4">
        <v>0</v>
      </c>
      <c r="R356" s="4">
        <f>IF(
    OR(Dashboard_Query[[#This Row],[Monthly Allowance]]="",Dashboard_Query[[#This Row],[Current Usage]]=""),
    "",
    MAX(0,Dashboard_Query[[#This Row],[Monthly Allowance]]-Dashboard_Query[[#This Row],[Current Usage]])
)</f>
        <v>500</v>
      </c>
      <c r="S356" s="9">
        <f>IF(OR(Dashboard_Query[[#This Row],[Monthly Allowance]]="",Dashboard_Query[[#This Row],[Current Usage]]=""),"",Dashboard_Query[[#This Row],[Current Usage]]/Dashboard_Query[[#This Row],[Monthly Allowance]])</f>
        <v>0</v>
      </c>
      <c r="T356" s="9">
        <f>IF(Dashboard_Query[[#This Row],[% Used]]="","",1-Dashboard_Query[[#This Row],[% Used]])</f>
        <v>1</v>
      </c>
      <c r="U356" s="4">
        <f>IF(OR(Dashboard_Query[[#This Row],[Monthly Allowance]]="",Dashboard_Query[[#This Row],[Current Usage]]=""),"",MAX(0,Dashboard_Query[[#This Row],[Current Usage]]-Dashboard_Query[[#This Row],[Monthly Allowance]]))</f>
        <v>0</v>
      </c>
      <c r="V356" s="4" t="str">
        <f>IF(Dashboard_Query[[#This Row],[Monthly Allowance]]="","",IF(Dashboard_Query[[#This Row],[Overage]]&gt;0,"OVER",IF(Dashboard_Query[[#This Row],[% Used]]&gt;=0.8,"WARNING","OK")))</f>
        <v>OK</v>
      </c>
    </row>
    <row r="357" spans="1:22" hidden="1">
      <c r="A357" s="4" t="s">
        <v>419</v>
      </c>
      <c r="B357" s="4">
        <v>816368</v>
      </c>
      <c r="C357" s="4"/>
      <c r="D357" s="4"/>
      <c r="E357" s="4"/>
      <c r="F357" s="4"/>
      <c r="G357" s="6"/>
      <c r="H357" s="6"/>
      <c r="I357" s="32"/>
      <c r="J357" s="1"/>
      <c r="K357" s="4">
        <v>500</v>
      </c>
      <c r="L357" s="4" t="s">
        <v>122</v>
      </c>
      <c r="M357" s="4" t="s">
        <v>35</v>
      </c>
      <c r="N357" s="6"/>
      <c r="O357" s="1"/>
      <c r="P357" s="4">
        <v>0</v>
      </c>
      <c r="Q357" s="4">
        <v>0</v>
      </c>
      <c r="R357" s="4">
        <f>IF(
    OR(Dashboard_Query[[#This Row],[Monthly Allowance]]="",Dashboard_Query[[#This Row],[Current Usage]]=""),
    "",
    MAX(0,Dashboard_Query[[#This Row],[Monthly Allowance]]-Dashboard_Query[[#This Row],[Current Usage]])
)</f>
        <v>500</v>
      </c>
      <c r="S357" s="9">
        <f>IF(OR(Dashboard_Query[[#This Row],[Monthly Allowance]]="",Dashboard_Query[[#This Row],[Current Usage]]=""),"",Dashboard_Query[[#This Row],[Current Usage]]/Dashboard_Query[[#This Row],[Monthly Allowance]])</f>
        <v>0</v>
      </c>
      <c r="T357" s="9">
        <f>IF(Dashboard_Query[[#This Row],[% Used]]="","",1-Dashboard_Query[[#This Row],[% Used]])</f>
        <v>1</v>
      </c>
      <c r="U357" s="4">
        <f>IF(OR(Dashboard_Query[[#This Row],[Monthly Allowance]]="",Dashboard_Query[[#This Row],[Current Usage]]=""),"",MAX(0,Dashboard_Query[[#This Row],[Current Usage]]-Dashboard_Query[[#This Row],[Monthly Allowance]]))</f>
        <v>0</v>
      </c>
      <c r="V357" s="4" t="str">
        <f>IF(Dashboard_Query[[#This Row],[Monthly Allowance]]="","",IF(Dashboard_Query[[#This Row],[Overage]]&gt;0,"OVER",IF(Dashboard_Query[[#This Row],[% Used]]&gt;=0.8,"WARNING","OK")))</f>
        <v>OK</v>
      </c>
    </row>
    <row r="358" spans="1:22" hidden="1">
      <c r="A358" s="4" t="s">
        <v>429</v>
      </c>
      <c r="B358" s="4">
        <v>816378</v>
      </c>
      <c r="C358" s="4"/>
      <c r="D358" s="4"/>
      <c r="E358" s="4"/>
      <c r="F358" s="4"/>
      <c r="G358" s="6"/>
      <c r="H358" s="6"/>
      <c r="I358" s="32"/>
      <c r="J358" s="1"/>
      <c r="K358" s="4">
        <v>500</v>
      </c>
      <c r="L358" s="4" t="s">
        <v>122</v>
      </c>
      <c r="M358" s="4" t="s">
        <v>35</v>
      </c>
      <c r="N358" s="6"/>
      <c r="O358" s="1"/>
      <c r="P358" s="4">
        <v>0</v>
      </c>
      <c r="Q358" s="4">
        <v>0</v>
      </c>
      <c r="R358" s="4">
        <f>IF(
    OR(Dashboard_Query[[#This Row],[Monthly Allowance]]="",Dashboard_Query[[#This Row],[Current Usage]]=""),
    "",
    MAX(0,Dashboard_Query[[#This Row],[Monthly Allowance]]-Dashboard_Query[[#This Row],[Current Usage]])
)</f>
        <v>500</v>
      </c>
      <c r="S358" s="9">
        <f>IF(OR(Dashboard_Query[[#This Row],[Monthly Allowance]]="",Dashboard_Query[[#This Row],[Current Usage]]=""),"",Dashboard_Query[[#This Row],[Current Usage]]/Dashboard_Query[[#This Row],[Monthly Allowance]])</f>
        <v>0</v>
      </c>
      <c r="T358" s="9">
        <f>IF(Dashboard_Query[[#This Row],[% Used]]="","",1-Dashboard_Query[[#This Row],[% Used]])</f>
        <v>1</v>
      </c>
      <c r="U358" s="4">
        <f>IF(OR(Dashboard_Query[[#This Row],[Monthly Allowance]]="",Dashboard_Query[[#This Row],[Current Usage]]=""),"",MAX(0,Dashboard_Query[[#This Row],[Current Usage]]-Dashboard_Query[[#This Row],[Monthly Allowance]]))</f>
        <v>0</v>
      </c>
      <c r="V358" s="4" t="str">
        <f>IF(Dashboard_Query[[#This Row],[Monthly Allowance]]="","",IF(Dashboard_Query[[#This Row],[Overage]]&gt;0,"OVER",IF(Dashboard_Query[[#This Row],[% Used]]&gt;=0.8,"WARNING","OK")))</f>
        <v>OK</v>
      </c>
    </row>
    <row r="359" spans="1:22" hidden="1">
      <c r="A359" s="4" t="s">
        <v>446</v>
      </c>
      <c r="B359" s="4">
        <v>816395</v>
      </c>
      <c r="C359" s="4"/>
      <c r="D359" s="4"/>
      <c r="E359" s="4"/>
      <c r="F359" s="4"/>
      <c r="G359" s="6"/>
      <c r="H359" s="6"/>
      <c r="I359" s="32"/>
      <c r="J359" s="1"/>
      <c r="K359" s="4">
        <v>500</v>
      </c>
      <c r="L359" s="4" t="s">
        <v>122</v>
      </c>
      <c r="M359" s="4" t="s">
        <v>35</v>
      </c>
      <c r="N359" s="6"/>
      <c r="O359" s="1"/>
      <c r="P359" s="4">
        <v>0</v>
      </c>
      <c r="Q359" s="4">
        <v>0</v>
      </c>
      <c r="R359" s="4">
        <f>IF(
    OR(Dashboard_Query[[#This Row],[Monthly Allowance]]="",Dashboard_Query[[#This Row],[Current Usage]]=""),
    "",
    MAX(0,Dashboard_Query[[#This Row],[Monthly Allowance]]-Dashboard_Query[[#This Row],[Current Usage]])
)</f>
        <v>500</v>
      </c>
      <c r="S359" s="9">
        <f>IF(OR(Dashboard_Query[[#This Row],[Monthly Allowance]]="",Dashboard_Query[[#This Row],[Current Usage]]=""),"",Dashboard_Query[[#This Row],[Current Usage]]/Dashboard_Query[[#This Row],[Monthly Allowance]])</f>
        <v>0</v>
      </c>
      <c r="T359" s="9">
        <f>IF(Dashboard_Query[[#This Row],[% Used]]="","",1-Dashboard_Query[[#This Row],[% Used]])</f>
        <v>1</v>
      </c>
      <c r="U359" s="4">
        <f>IF(OR(Dashboard_Query[[#This Row],[Monthly Allowance]]="",Dashboard_Query[[#This Row],[Current Usage]]=""),"",MAX(0,Dashboard_Query[[#This Row],[Current Usage]]-Dashboard_Query[[#This Row],[Monthly Allowance]]))</f>
        <v>0</v>
      </c>
      <c r="V359" s="4" t="str">
        <f>IF(Dashboard_Query[[#This Row],[Monthly Allowance]]="","",IF(Dashboard_Query[[#This Row],[Overage]]&gt;0,"OVER",IF(Dashboard_Query[[#This Row],[% Used]]&gt;=0.8,"WARNING","OK")))</f>
        <v>OK</v>
      </c>
    </row>
    <row r="360" spans="1:22" hidden="1">
      <c r="A360" s="4" t="s">
        <v>417</v>
      </c>
      <c r="B360" s="4">
        <v>816366</v>
      </c>
      <c r="C360" s="4"/>
      <c r="D360" s="4"/>
      <c r="E360" s="4"/>
      <c r="F360" s="4"/>
      <c r="G360" s="6"/>
      <c r="H360" s="6"/>
      <c r="I360" s="32"/>
      <c r="J360" s="1"/>
      <c r="K360" s="4">
        <v>500</v>
      </c>
      <c r="L360" s="4" t="s">
        <v>122</v>
      </c>
      <c r="M360" s="4" t="s">
        <v>35</v>
      </c>
      <c r="N360" s="6"/>
      <c r="O360" s="1"/>
      <c r="P360" s="4">
        <v>0</v>
      </c>
      <c r="Q360" s="4">
        <v>0</v>
      </c>
      <c r="R360" s="4">
        <f>IF(
    OR(Dashboard_Query[[#This Row],[Monthly Allowance]]="",Dashboard_Query[[#This Row],[Current Usage]]=""),
    "",
    MAX(0,Dashboard_Query[[#This Row],[Monthly Allowance]]-Dashboard_Query[[#This Row],[Current Usage]])
)</f>
        <v>500</v>
      </c>
      <c r="S360" s="9">
        <f>IF(OR(Dashboard_Query[[#This Row],[Monthly Allowance]]="",Dashboard_Query[[#This Row],[Current Usage]]=""),"",Dashboard_Query[[#This Row],[Current Usage]]/Dashboard_Query[[#This Row],[Monthly Allowance]])</f>
        <v>0</v>
      </c>
      <c r="T360" s="9">
        <f>IF(Dashboard_Query[[#This Row],[% Used]]="","",1-Dashboard_Query[[#This Row],[% Used]])</f>
        <v>1</v>
      </c>
      <c r="U360" s="4">
        <f>IF(OR(Dashboard_Query[[#This Row],[Monthly Allowance]]="",Dashboard_Query[[#This Row],[Current Usage]]=""),"",MAX(0,Dashboard_Query[[#This Row],[Current Usage]]-Dashboard_Query[[#This Row],[Monthly Allowance]]))</f>
        <v>0</v>
      </c>
      <c r="V360" s="4" t="str">
        <f>IF(Dashboard_Query[[#This Row],[Monthly Allowance]]="","",IF(Dashboard_Query[[#This Row],[Overage]]&gt;0,"OVER",IF(Dashboard_Query[[#This Row],[% Used]]&gt;=0.8,"WARNING","OK")))</f>
        <v>OK</v>
      </c>
    </row>
    <row r="361" spans="1:22" hidden="1">
      <c r="A361" s="4" t="s">
        <v>441</v>
      </c>
      <c r="B361" s="4">
        <v>816390</v>
      </c>
      <c r="C361" s="4"/>
      <c r="D361" s="4"/>
      <c r="E361" s="4"/>
      <c r="F361" s="4"/>
      <c r="G361" s="6"/>
      <c r="H361" s="6"/>
      <c r="I361" s="32"/>
      <c r="J361" s="1"/>
      <c r="K361" s="4">
        <v>500</v>
      </c>
      <c r="L361" s="4" t="s">
        <v>122</v>
      </c>
      <c r="M361" s="4" t="s">
        <v>35</v>
      </c>
      <c r="N361" s="6"/>
      <c r="O361" s="1"/>
      <c r="P361" s="4">
        <v>0</v>
      </c>
      <c r="Q361" s="4">
        <v>0</v>
      </c>
      <c r="R361" s="4">
        <f>IF(
    OR(Dashboard_Query[[#This Row],[Monthly Allowance]]="",Dashboard_Query[[#This Row],[Current Usage]]=""),
    "",
    MAX(0,Dashboard_Query[[#This Row],[Monthly Allowance]]-Dashboard_Query[[#This Row],[Current Usage]])
)</f>
        <v>500</v>
      </c>
      <c r="S361" s="9">
        <f>IF(OR(Dashboard_Query[[#This Row],[Monthly Allowance]]="",Dashboard_Query[[#This Row],[Current Usage]]=""),"",Dashboard_Query[[#This Row],[Current Usage]]/Dashboard_Query[[#This Row],[Monthly Allowance]])</f>
        <v>0</v>
      </c>
      <c r="T361" s="9">
        <f>IF(Dashboard_Query[[#This Row],[% Used]]="","",1-Dashboard_Query[[#This Row],[% Used]])</f>
        <v>1</v>
      </c>
      <c r="U361" s="4">
        <f>IF(OR(Dashboard_Query[[#This Row],[Monthly Allowance]]="",Dashboard_Query[[#This Row],[Current Usage]]=""),"",MAX(0,Dashboard_Query[[#This Row],[Current Usage]]-Dashboard_Query[[#This Row],[Monthly Allowance]]))</f>
        <v>0</v>
      </c>
      <c r="V361" s="4" t="str">
        <f>IF(Dashboard_Query[[#This Row],[Monthly Allowance]]="","",IF(Dashboard_Query[[#This Row],[Overage]]&gt;0,"OVER",IF(Dashboard_Query[[#This Row],[% Used]]&gt;=0.8,"WARNING","OK")))</f>
        <v>OK</v>
      </c>
    </row>
    <row r="362" spans="1:22" hidden="1">
      <c r="A362" s="4" t="s">
        <v>440</v>
      </c>
      <c r="B362" s="4">
        <v>816389</v>
      </c>
      <c r="C362" s="4"/>
      <c r="D362" s="4"/>
      <c r="E362" s="4"/>
      <c r="F362" s="4"/>
      <c r="G362" s="6"/>
      <c r="H362" s="6"/>
      <c r="I362" s="32"/>
      <c r="J362" s="1"/>
      <c r="K362" s="4">
        <v>500</v>
      </c>
      <c r="L362" s="4" t="s">
        <v>122</v>
      </c>
      <c r="M362" s="4" t="s">
        <v>35</v>
      </c>
      <c r="N362" s="6"/>
      <c r="O362" s="1"/>
      <c r="P362" s="4">
        <v>0</v>
      </c>
      <c r="Q362" s="4">
        <v>0</v>
      </c>
      <c r="R362" s="4">
        <f>IF(
    OR(Dashboard_Query[[#This Row],[Monthly Allowance]]="",Dashboard_Query[[#This Row],[Current Usage]]=""),
    "",
    MAX(0,Dashboard_Query[[#This Row],[Monthly Allowance]]-Dashboard_Query[[#This Row],[Current Usage]])
)</f>
        <v>500</v>
      </c>
      <c r="S362" s="9">
        <f>IF(OR(Dashboard_Query[[#This Row],[Monthly Allowance]]="",Dashboard_Query[[#This Row],[Current Usage]]=""),"",Dashboard_Query[[#This Row],[Current Usage]]/Dashboard_Query[[#This Row],[Monthly Allowance]])</f>
        <v>0</v>
      </c>
      <c r="T362" s="9">
        <f>IF(Dashboard_Query[[#This Row],[% Used]]="","",1-Dashboard_Query[[#This Row],[% Used]])</f>
        <v>1</v>
      </c>
      <c r="U362" s="4">
        <f>IF(OR(Dashboard_Query[[#This Row],[Monthly Allowance]]="",Dashboard_Query[[#This Row],[Current Usage]]=""),"",MAX(0,Dashboard_Query[[#This Row],[Current Usage]]-Dashboard_Query[[#This Row],[Monthly Allowance]]))</f>
        <v>0</v>
      </c>
      <c r="V362" s="4" t="str">
        <f>IF(Dashboard_Query[[#This Row],[Monthly Allowance]]="","",IF(Dashboard_Query[[#This Row],[Overage]]&gt;0,"OVER",IF(Dashboard_Query[[#This Row],[% Used]]&gt;=0.8,"WARNING","OK")))</f>
        <v>OK</v>
      </c>
    </row>
    <row r="363" spans="1:22" hidden="1">
      <c r="A363" s="4" t="s">
        <v>422</v>
      </c>
      <c r="B363" s="4">
        <v>816371</v>
      </c>
      <c r="C363" s="4"/>
      <c r="D363" s="4"/>
      <c r="E363" s="4"/>
      <c r="F363" s="4"/>
      <c r="G363" s="6"/>
      <c r="H363" s="6"/>
      <c r="I363" s="32"/>
      <c r="J363" s="1"/>
      <c r="K363" s="4">
        <v>500</v>
      </c>
      <c r="L363" s="4" t="s">
        <v>122</v>
      </c>
      <c r="M363" s="4" t="s">
        <v>35</v>
      </c>
      <c r="N363" s="6"/>
      <c r="O363" s="1"/>
      <c r="P363" s="4">
        <v>0</v>
      </c>
      <c r="Q363" s="4">
        <v>0</v>
      </c>
      <c r="R363" s="4">
        <f>IF(
    OR(Dashboard_Query[[#This Row],[Monthly Allowance]]="",Dashboard_Query[[#This Row],[Current Usage]]=""),
    "",
    MAX(0,Dashboard_Query[[#This Row],[Monthly Allowance]]-Dashboard_Query[[#This Row],[Current Usage]])
)</f>
        <v>500</v>
      </c>
      <c r="S363" s="9">
        <f>IF(OR(Dashboard_Query[[#This Row],[Monthly Allowance]]="",Dashboard_Query[[#This Row],[Current Usage]]=""),"",Dashboard_Query[[#This Row],[Current Usage]]/Dashboard_Query[[#This Row],[Monthly Allowance]])</f>
        <v>0</v>
      </c>
      <c r="T363" s="9">
        <f>IF(Dashboard_Query[[#This Row],[% Used]]="","",1-Dashboard_Query[[#This Row],[% Used]])</f>
        <v>1</v>
      </c>
      <c r="U363" s="4">
        <f>IF(OR(Dashboard_Query[[#This Row],[Monthly Allowance]]="",Dashboard_Query[[#This Row],[Current Usage]]=""),"",MAX(0,Dashboard_Query[[#This Row],[Current Usage]]-Dashboard_Query[[#This Row],[Monthly Allowance]]))</f>
        <v>0</v>
      </c>
      <c r="V363" s="4" t="str">
        <f>IF(Dashboard_Query[[#This Row],[Monthly Allowance]]="","",IF(Dashboard_Query[[#This Row],[Overage]]&gt;0,"OVER",IF(Dashboard_Query[[#This Row],[% Used]]&gt;=0.8,"WARNING","OK")))</f>
        <v>OK</v>
      </c>
    </row>
    <row r="364" spans="1:22" hidden="1">
      <c r="A364" s="4" t="s">
        <v>426</v>
      </c>
      <c r="B364" s="4">
        <v>816375</v>
      </c>
      <c r="C364" s="4"/>
      <c r="D364" s="4"/>
      <c r="E364" s="4"/>
      <c r="F364" s="4"/>
      <c r="G364" s="6"/>
      <c r="H364" s="6"/>
      <c r="I364" s="32"/>
      <c r="J364" s="1"/>
      <c r="K364" s="4">
        <v>500</v>
      </c>
      <c r="L364" s="4" t="s">
        <v>122</v>
      </c>
      <c r="M364" s="4" t="s">
        <v>35</v>
      </c>
      <c r="N364" s="6"/>
      <c r="O364" s="1"/>
      <c r="P364" s="4">
        <v>0</v>
      </c>
      <c r="Q364" s="4">
        <v>0</v>
      </c>
      <c r="R364" s="4">
        <f>IF(
    OR(Dashboard_Query[[#This Row],[Monthly Allowance]]="",Dashboard_Query[[#This Row],[Current Usage]]=""),
    "",
    MAX(0,Dashboard_Query[[#This Row],[Monthly Allowance]]-Dashboard_Query[[#This Row],[Current Usage]])
)</f>
        <v>500</v>
      </c>
      <c r="S364" s="9">
        <f>IF(OR(Dashboard_Query[[#This Row],[Monthly Allowance]]="",Dashboard_Query[[#This Row],[Current Usage]]=""),"",Dashboard_Query[[#This Row],[Current Usage]]/Dashboard_Query[[#This Row],[Monthly Allowance]])</f>
        <v>0</v>
      </c>
      <c r="T364" s="9">
        <f>IF(Dashboard_Query[[#This Row],[% Used]]="","",1-Dashboard_Query[[#This Row],[% Used]])</f>
        <v>1</v>
      </c>
      <c r="U364" s="4">
        <f>IF(OR(Dashboard_Query[[#This Row],[Monthly Allowance]]="",Dashboard_Query[[#This Row],[Current Usage]]=""),"",MAX(0,Dashboard_Query[[#This Row],[Current Usage]]-Dashboard_Query[[#This Row],[Monthly Allowance]]))</f>
        <v>0</v>
      </c>
      <c r="V364" s="4" t="str">
        <f>IF(Dashboard_Query[[#This Row],[Monthly Allowance]]="","",IF(Dashboard_Query[[#This Row],[Overage]]&gt;0,"OVER",IF(Dashboard_Query[[#This Row],[% Used]]&gt;=0.8,"WARNING","OK")))</f>
        <v>OK</v>
      </c>
    </row>
    <row r="365" spans="1:22" hidden="1">
      <c r="A365" s="4" t="s">
        <v>421</v>
      </c>
      <c r="B365" s="4">
        <v>816370</v>
      </c>
      <c r="C365" s="4"/>
      <c r="D365" s="4"/>
      <c r="E365" s="4"/>
      <c r="F365" s="4"/>
      <c r="G365" s="6"/>
      <c r="H365" s="6"/>
      <c r="I365" s="32"/>
      <c r="J365" s="1"/>
      <c r="K365" s="4">
        <v>500</v>
      </c>
      <c r="L365" s="4" t="s">
        <v>122</v>
      </c>
      <c r="M365" s="4" t="s">
        <v>35</v>
      </c>
      <c r="N365" s="6"/>
      <c r="O365" s="1"/>
      <c r="P365" s="4">
        <v>0</v>
      </c>
      <c r="Q365" s="4">
        <v>0</v>
      </c>
      <c r="R365" s="4">
        <f>IF(
    OR(Dashboard_Query[[#This Row],[Monthly Allowance]]="",Dashboard_Query[[#This Row],[Current Usage]]=""),
    "",
    MAX(0,Dashboard_Query[[#This Row],[Monthly Allowance]]-Dashboard_Query[[#This Row],[Current Usage]])
)</f>
        <v>500</v>
      </c>
      <c r="S365" s="9">
        <f>IF(OR(Dashboard_Query[[#This Row],[Monthly Allowance]]="",Dashboard_Query[[#This Row],[Current Usage]]=""),"",Dashboard_Query[[#This Row],[Current Usage]]/Dashboard_Query[[#This Row],[Monthly Allowance]])</f>
        <v>0</v>
      </c>
      <c r="T365" s="9">
        <f>IF(Dashboard_Query[[#This Row],[% Used]]="","",1-Dashboard_Query[[#This Row],[% Used]])</f>
        <v>1</v>
      </c>
      <c r="U365" s="4">
        <f>IF(OR(Dashboard_Query[[#This Row],[Monthly Allowance]]="",Dashboard_Query[[#This Row],[Current Usage]]=""),"",MAX(0,Dashboard_Query[[#This Row],[Current Usage]]-Dashboard_Query[[#This Row],[Monthly Allowance]]))</f>
        <v>0</v>
      </c>
      <c r="V365" s="4" t="str">
        <f>IF(Dashboard_Query[[#This Row],[Monthly Allowance]]="","",IF(Dashboard_Query[[#This Row],[Overage]]&gt;0,"OVER",IF(Dashboard_Query[[#This Row],[% Used]]&gt;=0.8,"WARNING","OK")))</f>
        <v>OK</v>
      </c>
    </row>
    <row r="366" spans="1:22" hidden="1">
      <c r="A366" s="4" t="s">
        <v>431</v>
      </c>
      <c r="B366" s="4">
        <v>816380</v>
      </c>
      <c r="C366" s="4"/>
      <c r="D366" s="4"/>
      <c r="E366" s="4"/>
      <c r="F366" s="4"/>
      <c r="G366" s="6"/>
      <c r="H366" s="6"/>
      <c r="I366" s="32"/>
      <c r="J366" s="1"/>
      <c r="K366" s="4">
        <v>500</v>
      </c>
      <c r="L366" s="4" t="s">
        <v>122</v>
      </c>
      <c r="M366" s="4" t="s">
        <v>35</v>
      </c>
      <c r="N366" s="6"/>
      <c r="O366" s="1"/>
      <c r="P366" s="4">
        <v>0</v>
      </c>
      <c r="Q366" s="4">
        <v>0</v>
      </c>
      <c r="R366" s="4">
        <f>IF(
    OR(Dashboard_Query[[#This Row],[Monthly Allowance]]="",Dashboard_Query[[#This Row],[Current Usage]]=""),
    "",
    MAX(0,Dashboard_Query[[#This Row],[Monthly Allowance]]-Dashboard_Query[[#This Row],[Current Usage]])
)</f>
        <v>500</v>
      </c>
      <c r="S366" s="9">
        <f>IF(OR(Dashboard_Query[[#This Row],[Monthly Allowance]]="",Dashboard_Query[[#This Row],[Current Usage]]=""),"",Dashboard_Query[[#This Row],[Current Usage]]/Dashboard_Query[[#This Row],[Monthly Allowance]])</f>
        <v>0</v>
      </c>
      <c r="T366" s="9">
        <f>IF(Dashboard_Query[[#This Row],[% Used]]="","",1-Dashboard_Query[[#This Row],[% Used]])</f>
        <v>1</v>
      </c>
      <c r="U366" s="4">
        <f>IF(OR(Dashboard_Query[[#This Row],[Monthly Allowance]]="",Dashboard_Query[[#This Row],[Current Usage]]=""),"",MAX(0,Dashboard_Query[[#This Row],[Current Usage]]-Dashboard_Query[[#This Row],[Monthly Allowance]]))</f>
        <v>0</v>
      </c>
      <c r="V366" s="4" t="str">
        <f>IF(Dashboard_Query[[#This Row],[Monthly Allowance]]="","",IF(Dashboard_Query[[#This Row],[Overage]]&gt;0,"OVER",IF(Dashboard_Query[[#This Row],[% Used]]&gt;=0.8,"WARNING","OK")))</f>
        <v>OK</v>
      </c>
    </row>
    <row r="367" spans="1:22" hidden="1">
      <c r="A367" s="4" t="s">
        <v>423</v>
      </c>
      <c r="B367" s="4">
        <v>816372</v>
      </c>
      <c r="C367" s="4"/>
      <c r="D367" s="4"/>
      <c r="E367" s="4"/>
      <c r="F367" s="4"/>
      <c r="G367" s="6"/>
      <c r="H367" s="6"/>
      <c r="I367" s="32"/>
      <c r="J367" s="1"/>
      <c r="K367" s="4">
        <v>500</v>
      </c>
      <c r="L367" s="4" t="s">
        <v>122</v>
      </c>
      <c r="M367" s="4" t="s">
        <v>35</v>
      </c>
      <c r="N367" s="6"/>
      <c r="O367" s="1"/>
      <c r="P367" s="4">
        <v>0</v>
      </c>
      <c r="Q367" s="4">
        <v>0</v>
      </c>
      <c r="R367" s="4">
        <f>IF(
    OR(Dashboard_Query[[#This Row],[Monthly Allowance]]="",Dashboard_Query[[#This Row],[Current Usage]]=""),
    "",
    MAX(0,Dashboard_Query[[#This Row],[Monthly Allowance]]-Dashboard_Query[[#This Row],[Current Usage]])
)</f>
        <v>500</v>
      </c>
      <c r="S367" s="9">
        <f>IF(OR(Dashboard_Query[[#This Row],[Monthly Allowance]]="",Dashboard_Query[[#This Row],[Current Usage]]=""),"",Dashboard_Query[[#This Row],[Current Usage]]/Dashboard_Query[[#This Row],[Monthly Allowance]])</f>
        <v>0</v>
      </c>
      <c r="T367" s="9">
        <f>IF(Dashboard_Query[[#This Row],[% Used]]="","",1-Dashboard_Query[[#This Row],[% Used]])</f>
        <v>1</v>
      </c>
      <c r="U367" s="4">
        <f>IF(OR(Dashboard_Query[[#This Row],[Monthly Allowance]]="",Dashboard_Query[[#This Row],[Current Usage]]=""),"",MAX(0,Dashboard_Query[[#This Row],[Current Usage]]-Dashboard_Query[[#This Row],[Monthly Allowance]]))</f>
        <v>0</v>
      </c>
      <c r="V367" s="4" t="str">
        <f>IF(Dashboard_Query[[#This Row],[Monthly Allowance]]="","",IF(Dashboard_Query[[#This Row],[Overage]]&gt;0,"OVER",IF(Dashboard_Query[[#This Row],[% Used]]&gt;=0.8,"WARNING","OK")))</f>
        <v>OK</v>
      </c>
    </row>
    <row r="368" spans="1:22" hidden="1">
      <c r="A368" s="4" t="s">
        <v>424</v>
      </c>
      <c r="B368" s="4">
        <v>816373</v>
      </c>
      <c r="C368" s="4"/>
      <c r="D368" s="4"/>
      <c r="E368" s="4"/>
      <c r="F368" s="4"/>
      <c r="G368" s="6"/>
      <c r="H368" s="6"/>
      <c r="I368" s="32"/>
      <c r="J368" s="1"/>
      <c r="K368" s="4">
        <v>500</v>
      </c>
      <c r="L368" s="4" t="s">
        <v>122</v>
      </c>
      <c r="M368" s="4" t="s">
        <v>35</v>
      </c>
      <c r="N368" s="6"/>
      <c r="O368" s="1"/>
      <c r="P368" s="4">
        <v>0</v>
      </c>
      <c r="Q368" s="4">
        <v>0</v>
      </c>
      <c r="R368" s="4">
        <f>IF(
    OR(Dashboard_Query[[#This Row],[Monthly Allowance]]="",Dashboard_Query[[#This Row],[Current Usage]]=""),
    "",
    MAX(0,Dashboard_Query[[#This Row],[Monthly Allowance]]-Dashboard_Query[[#This Row],[Current Usage]])
)</f>
        <v>500</v>
      </c>
      <c r="S368" s="9">
        <f>IF(OR(Dashboard_Query[[#This Row],[Monthly Allowance]]="",Dashboard_Query[[#This Row],[Current Usage]]=""),"",Dashboard_Query[[#This Row],[Current Usage]]/Dashboard_Query[[#This Row],[Monthly Allowance]])</f>
        <v>0</v>
      </c>
      <c r="T368" s="9">
        <f>IF(Dashboard_Query[[#This Row],[% Used]]="","",1-Dashboard_Query[[#This Row],[% Used]])</f>
        <v>1</v>
      </c>
      <c r="U368" s="4">
        <f>IF(OR(Dashboard_Query[[#This Row],[Monthly Allowance]]="",Dashboard_Query[[#This Row],[Current Usage]]=""),"",MAX(0,Dashboard_Query[[#This Row],[Current Usage]]-Dashboard_Query[[#This Row],[Monthly Allowance]]))</f>
        <v>0</v>
      </c>
      <c r="V368" s="4" t="str">
        <f>IF(Dashboard_Query[[#This Row],[Monthly Allowance]]="","",IF(Dashboard_Query[[#This Row],[Overage]]&gt;0,"OVER",IF(Dashboard_Query[[#This Row],[% Used]]&gt;=0.8,"WARNING","OK")))</f>
        <v>OK</v>
      </c>
    </row>
    <row r="369" spans="1:22" hidden="1">
      <c r="A369" s="4" t="s">
        <v>425</v>
      </c>
      <c r="B369" s="4">
        <v>816374</v>
      </c>
      <c r="C369" s="4"/>
      <c r="D369" s="4"/>
      <c r="E369" s="4"/>
      <c r="F369" s="4"/>
      <c r="G369" s="6"/>
      <c r="H369" s="6"/>
      <c r="I369" s="32"/>
      <c r="J369" s="1"/>
      <c r="K369" s="4">
        <v>500</v>
      </c>
      <c r="L369" s="4" t="s">
        <v>122</v>
      </c>
      <c r="M369" s="4" t="s">
        <v>35</v>
      </c>
      <c r="N369" s="6"/>
      <c r="O369" s="1"/>
      <c r="P369" s="4">
        <v>0</v>
      </c>
      <c r="Q369" s="4">
        <v>0</v>
      </c>
      <c r="R369" s="4">
        <f>IF(
    OR(Dashboard_Query[[#This Row],[Monthly Allowance]]="",Dashboard_Query[[#This Row],[Current Usage]]=""),
    "",
    MAX(0,Dashboard_Query[[#This Row],[Monthly Allowance]]-Dashboard_Query[[#This Row],[Current Usage]])
)</f>
        <v>500</v>
      </c>
      <c r="S369" s="9">
        <f>IF(OR(Dashboard_Query[[#This Row],[Monthly Allowance]]="",Dashboard_Query[[#This Row],[Current Usage]]=""),"",Dashboard_Query[[#This Row],[Current Usage]]/Dashboard_Query[[#This Row],[Monthly Allowance]])</f>
        <v>0</v>
      </c>
      <c r="T369" s="9">
        <f>IF(Dashboard_Query[[#This Row],[% Used]]="","",1-Dashboard_Query[[#This Row],[% Used]])</f>
        <v>1</v>
      </c>
      <c r="U369" s="4">
        <f>IF(OR(Dashboard_Query[[#This Row],[Monthly Allowance]]="",Dashboard_Query[[#This Row],[Current Usage]]=""),"",MAX(0,Dashboard_Query[[#This Row],[Current Usage]]-Dashboard_Query[[#This Row],[Monthly Allowance]]))</f>
        <v>0</v>
      </c>
      <c r="V369" s="4" t="str">
        <f>IF(Dashboard_Query[[#This Row],[Monthly Allowance]]="","",IF(Dashboard_Query[[#This Row],[Overage]]&gt;0,"OVER",IF(Dashboard_Query[[#This Row],[% Used]]&gt;=0.8,"WARNING","OK")))</f>
        <v>OK</v>
      </c>
    </row>
    <row r="370" spans="1:22">
      <c r="A370" s="4" t="s">
        <v>248</v>
      </c>
      <c r="B370" s="4">
        <v>809871</v>
      </c>
      <c r="C370" s="4" t="s">
        <v>388</v>
      </c>
      <c r="D370" s="4" t="s">
        <v>306</v>
      </c>
      <c r="E370" s="4" t="s">
        <v>389</v>
      </c>
      <c r="F370" s="4">
        <v>211121969</v>
      </c>
      <c r="G370" s="6">
        <v>46246</v>
      </c>
      <c r="H370" s="6">
        <v>46246</v>
      </c>
      <c r="I370" s="32">
        <v>46277</v>
      </c>
      <c r="J370" s="1">
        <v>19</v>
      </c>
      <c r="K370" s="4">
        <v>500</v>
      </c>
      <c r="L370" s="4" t="s">
        <v>122</v>
      </c>
      <c r="M370" s="4" t="s">
        <v>123</v>
      </c>
      <c r="N370" s="6">
        <v>46246</v>
      </c>
      <c r="O370" s="1"/>
      <c r="P370" s="4">
        <v>0.01</v>
      </c>
      <c r="Q370" s="4">
        <v>0</v>
      </c>
      <c r="R370" s="4">
        <f>IF(
    OR(Dashboard_Query[[#This Row],[Monthly Allowance]]="",Dashboard_Query[[#This Row],[Current Usage]]=""),
    "",
    MAX(0,Dashboard_Query[[#This Row],[Monthly Allowance]]-Dashboard_Query[[#This Row],[Current Usage]])
)</f>
        <v>500</v>
      </c>
      <c r="S370" s="9">
        <f>IF(OR(Dashboard_Query[[#This Row],[Monthly Allowance]]="",Dashboard_Query[[#This Row],[Current Usage]]=""),"",Dashboard_Query[[#This Row],[Current Usage]]/Dashboard_Query[[#This Row],[Monthly Allowance]])</f>
        <v>0</v>
      </c>
      <c r="T370" s="9">
        <f>IF(Dashboard_Query[[#This Row],[% Used]]="","",1-Dashboard_Query[[#This Row],[% Used]])</f>
        <v>1</v>
      </c>
      <c r="U370" s="4">
        <f>IF(OR(Dashboard_Query[[#This Row],[Monthly Allowance]]="",Dashboard_Query[[#This Row],[Current Usage]]=""),"",MAX(0,Dashboard_Query[[#This Row],[Current Usage]]-Dashboard_Query[[#This Row],[Monthly Allowance]]))</f>
        <v>0</v>
      </c>
      <c r="V370" s="4" t="str">
        <f>IF(Dashboard_Query[[#This Row],[Monthly Allowance]]="","",IF(Dashboard_Query[[#This Row],[Overage]]&gt;0,"OVER",IF(Dashboard_Query[[#This Row],[% Used]]&gt;=0.8,"WARNING","OK")))</f>
        <v>OK</v>
      </c>
    </row>
    <row r="371" spans="1:22">
      <c r="A371" s="4" t="s">
        <v>181</v>
      </c>
      <c r="B371" s="4">
        <v>814471</v>
      </c>
      <c r="C371" s="4" t="s">
        <v>392</v>
      </c>
      <c r="D371" s="4" t="s">
        <v>393</v>
      </c>
      <c r="E371" s="4" t="s">
        <v>394</v>
      </c>
      <c r="F371" s="4">
        <v>211122081</v>
      </c>
      <c r="G371" s="6">
        <v>46248</v>
      </c>
      <c r="H371" s="6">
        <v>46248</v>
      </c>
      <c r="I371" s="32">
        <v>46279</v>
      </c>
      <c r="J371" s="1">
        <v>21</v>
      </c>
      <c r="K371" s="4">
        <v>500</v>
      </c>
      <c r="L371" s="4" t="s">
        <v>122</v>
      </c>
      <c r="M371" s="4" t="s">
        <v>123</v>
      </c>
      <c r="N371" s="6">
        <v>46248</v>
      </c>
      <c r="O371" s="1"/>
      <c r="P371" s="4">
        <v>8.09</v>
      </c>
      <c r="Q371" s="4">
        <v>0</v>
      </c>
      <c r="R371" s="4">
        <f>IF(
    OR(Dashboard_Query[[#This Row],[Monthly Allowance]]="",Dashboard_Query[[#This Row],[Current Usage]]=""),
    "",
    MAX(0,Dashboard_Query[[#This Row],[Monthly Allowance]]-Dashboard_Query[[#This Row],[Current Usage]])
)</f>
        <v>500</v>
      </c>
      <c r="S371" s="9">
        <f>IF(OR(Dashboard_Query[[#This Row],[Monthly Allowance]]="",Dashboard_Query[[#This Row],[Current Usage]]=""),"",Dashboard_Query[[#This Row],[Current Usage]]/Dashboard_Query[[#This Row],[Monthly Allowance]])</f>
        <v>0</v>
      </c>
      <c r="T371" s="9">
        <f>IF(Dashboard_Query[[#This Row],[% Used]]="","",1-Dashboard_Query[[#This Row],[% Used]])</f>
        <v>1</v>
      </c>
      <c r="U371" s="4">
        <f>IF(OR(Dashboard_Query[[#This Row],[Monthly Allowance]]="",Dashboard_Query[[#This Row],[Current Usage]]=""),"",MAX(0,Dashboard_Query[[#This Row],[Current Usage]]-Dashboard_Query[[#This Row],[Monthly Allowance]]))</f>
        <v>0</v>
      </c>
      <c r="V371" s="4" t="str">
        <f>IF(Dashboard_Query[[#This Row],[Monthly Allowance]]="","",IF(Dashboard_Query[[#This Row],[Overage]]&gt;0,"OVER",IF(Dashboard_Query[[#This Row],[% Used]]&gt;=0.8,"WARNING","OK")))</f>
        <v>OK</v>
      </c>
    </row>
    <row r="372" spans="1:22">
      <c r="A372" s="4" t="s">
        <v>146</v>
      </c>
      <c r="B372" s="4">
        <v>814473</v>
      </c>
      <c r="C372" s="4" t="s">
        <v>472</v>
      </c>
      <c r="D372" s="4" t="s">
        <v>393</v>
      </c>
      <c r="E372" s="4" t="s">
        <v>128</v>
      </c>
      <c r="F372" s="4">
        <v>211122084</v>
      </c>
      <c r="G372" s="6">
        <v>46248</v>
      </c>
      <c r="H372" s="6">
        <v>46248</v>
      </c>
      <c r="I372" s="32">
        <v>46279</v>
      </c>
      <c r="J372" s="1">
        <v>21</v>
      </c>
      <c r="K372" s="4">
        <v>500</v>
      </c>
      <c r="L372" s="4" t="s">
        <v>122</v>
      </c>
      <c r="M372" s="4" t="s">
        <v>123</v>
      </c>
      <c r="N372" s="6">
        <v>46248</v>
      </c>
      <c r="O372" s="1"/>
      <c r="P372" s="4">
        <v>37.31</v>
      </c>
      <c r="Q372" s="4">
        <v>0</v>
      </c>
      <c r="R372" s="4">
        <f>IF(
    OR(Dashboard_Query[[#This Row],[Monthly Allowance]]="",Dashboard_Query[[#This Row],[Current Usage]]=""),
    "",
    MAX(0,Dashboard_Query[[#This Row],[Monthly Allowance]]-Dashboard_Query[[#This Row],[Current Usage]])
)</f>
        <v>500</v>
      </c>
      <c r="S372" s="9">
        <f>IF(OR(Dashboard_Query[[#This Row],[Monthly Allowance]]="",Dashboard_Query[[#This Row],[Current Usage]]=""),"",Dashboard_Query[[#This Row],[Current Usage]]/Dashboard_Query[[#This Row],[Monthly Allowance]])</f>
        <v>0</v>
      </c>
      <c r="T372" s="9">
        <f>IF(Dashboard_Query[[#This Row],[% Used]]="","",1-Dashboard_Query[[#This Row],[% Used]])</f>
        <v>1</v>
      </c>
      <c r="U372" s="4">
        <f>IF(OR(Dashboard_Query[[#This Row],[Monthly Allowance]]="",Dashboard_Query[[#This Row],[Current Usage]]=""),"",MAX(0,Dashboard_Query[[#This Row],[Current Usage]]-Dashboard_Query[[#This Row],[Monthly Allowance]]))</f>
        <v>0</v>
      </c>
      <c r="V372" s="4" t="str">
        <f>IF(Dashboard_Query[[#This Row],[Monthly Allowance]]="","",IF(Dashboard_Query[[#This Row],[Overage]]&gt;0,"OVER",IF(Dashboard_Query[[#This Row],[% Used]]&gt;=0.8,"WARNING","OK")))</f>
        <v>OK</v>
      </c>
    </row>
    <row r="373" spans="1:22">
      <c r="A373" s="4" t="s">
        <v>163</v>
      </c>
      <c r="B373" s="4">
        <v>814460</v>
      </c>
      <c r="C373" s="4" t="s">
        <v>472</v>
      </c>
      <c r="D373" s="4" t="s">
        <v>393</v>
      </c>
      <c r="E373" s="4" t="s">
        <v>128</v>
      </c>
      <c r="F373" s="4">
        <v>211122084</v>
      </c>
      <c r="G373" s="6">
        <v>46248</v>
      </c>
      <c r="H373" s="6">
        <v>46248</v>
      </c>
      <c r="I373" s="32">
        <v>46279</v>
      </c>
      <c r="J373" s="1">
        <v>21</v>
      </c>
      <c r="K373" s="4">
        <v>500</v>
      </c>
      <c r="L373" s="4" t="s">
        <v>122</v>
      </c>
      <c r="M373" s="4" t="s">
        <v>123</v>
      </c>
      <c r="N373" s="6">
        <v>46248</v>
      </c>
      <c r="O373" s="1"/>
      <c r="P373" s="4">
        <v>0.12</v>
      </c>
      <c r="Q373" s="4">
        <v>0</v>
      </c>
      <c r="R373" s="4">
        <f>IF(
    OR(Dashboard_Query[[#This Row],[Monthly Allowance]]="",Dashboard_Query[[#This Row],[Current Usage]]=""),
    "",
    MAX(0,Dashboard_Query[[#This Row],[Monthly Allowance]]-Dashboard_Query[[#This Row],[Current Usage]])
)</f>
        <v>500</v>
      </c>
      <c r="S373" s="9">
        <f>IF(OR(Dashboard_Query[[#This Row],[Monthly Allowance]]="",Dashboard_Query[[#This Row],[Current Usage]]=""),"",Dashboard_Query[[#This Row],[Current Usage]]/Dashboard_Query[[#This Row],[Monthly Allowance]])</f>
        <v>0</v>
      </c>
      <c r="T373" s="9">
        <f>IF(Dashboard_Query[[#This Row],[% Used]]="","",1-Dashboard_Query[[#This Row],[% Used]])</f>
        <v>1</v>
      </c>
      <c r="U373" s="4">
        <f>IF(OR(Dashboard_Query[[#This Row],[Monthly Allowance]]="",Dashboard_Query[[#This Row],[Current Usage]]=""),"",MAX(0,Dashboard_Query[[#This Row],[Current Usage]]-Dashboard_Query[[#This Row],[Monthly Allowance]]))</f>
        <v>0</v>
      </c>
      <c r="V373" s="4" t="str">
        <f>IF(Dashboard_Query[[#This Row],[Monthly Allowance]]="","",IF(Dashboard_Query[[#This Row],[Overage]]&gt;0,"OVER",IF(Dashboard_Query[[#This Row],[% Used]]&gt;=0.8,"WARNING","OK")))</f>
        <v>OK</v>
      </c>
    </row>
    <row r="374" spans="1:22">
      <c r="A374" s="4" t="s">
        <v>300</v>
      </c>
      <c r="B374" s="4">
        <v>810832</v>
      </c>
      <c r="C374" s="4" t="s">
        <v>472</v>
      </c>
      <c r="D374" s="4" t="s">
        <v>393</v>
      </c>
      <c r="E374" s="4" t="s">
        <v>128</v>
      </c>
      <c r="F374" s="4">
        <v>211122084</v>
      </c>
      <c r="G374" s="6">
        <v>46248</v>
      </c>
      <c r="H374" s="6">
        <v>46248</v>
      </c>
      <c r="I374" s="32">
        <v>46279</v>
      </c>
      <c r="J374" s="1">
        <v>21</v>
      </c>
      <c r="K374" s="4">
        <v>500</v>
      </c>
      <c r="L374" s="4" t="s">
        <v>122</v>
      </c>
      <c r="M374" s="4" t="s">
        <v>123</v>
      </c>
      <c r="N374" s="6">
        <v>46248</v>
      </c>
      <c r="O374" s="1"/>
      <c r="P374" s="4">
        <v>0.05</v>
      </c>
      <c r="Q374" s="4">
        <v>0</v>
      </c>
      <c r="R374" s="4">
        <f>IF(
    OR(Dashboard_Query[[#This Row],[Monthly Allowance]]="",Dashboard_Query[[#This Row],[Current Usage]]=""),
    "",
    MAX(0,Dashboard_Query[[#This Row],[Monthly Allowance]]-Dashboard_Query[[#This Row],[Current Usage]])
)</f>
        <v>500</v>
      </c>
      <c r="S374" s="9">
        <f>IF(OR(Dashboard_Query[[#This Row],[Monthly Allowance]]="",Dashboard_Query[[#This Row],[Current Usage]]=""),"",Dashboard_Query[[#This Row],[Current Usage]]/Dashboard_Query[[#This Row],[Monthly Allowance]])</f>
        <v>0</v>
      </c>
      <c r="T374" s="9">
        <f>IF(Dashboard_Query[[#This Row],[% Used]]="","",1-Dashboard_Query[[#This Row],[% Used]])</f>
        <v>1</v>
      </c>
      <c r="U374" s="4">
        <f>IF(OR(Dashboard_Query[[#This Row],[Monthly Allowance]]="",Dashboard_Query[[#This Row],[Current Usage]]=""),"",MAX(0,Dashboard_Query[[#This Row],[Current Usage]]-Dashboard_Query[[#This Row],[Monthly Allowance]]))</f>
        <v>0</v>
      </c>
      <c r="V374" s="4" t="str">
        <f>IF(Dashboard_Query[[#This Row],[Monthly Allowance]]="","",IF(Dashboard_Query[[#This Row],[Overage]]&gt;0,"OVER",IF(Dashboard_Query[[#This Row],[% Used]]&gt;=0.8,"WARNING","OK")))</f>
        <v>OK</v>
      </c>
    </row>
    <row r="375" spans="1:22">
      <c r="A375" s="4" t="s">
        <v>325</v>
      </c>
      <c r="B375" s="4">
        <v>812794</v>
      </c>
      <c r="C375" s="4" t="s">
        <v>472</v>
      </c>
      <c r="D375" s="4" t="s">
        <v>393</v>
      </c>
      <c r="E375" s="4" t="s">
        <v>128</v>
      </c>
      <c r="F375" s="4">
        <v>211122084</v>
      </c>
      <c r="G375" s="6">
        <v>46248</v>
      </c>
      <c r="H375" s="6">
        <v>46248</v>
      </c>
      <c r="I375" s="32">
        <v>46279</v>
      </c>
      <c r="J375" s="1">
        <v>21</v>
      </c>
      <c r="K375" s="4">
        <v>500</v>
      </c>
      <c r="L375" s="4" t="s">
        <v>122</v>
      </c>
      <c r="M375" s="4" t="s">
        <v>123</v>
      </c>
      <c r="N375" s="6">
        <v>46248</v>
      </c>
      <c r="O375" s="1"/>
      <c r="P375" s="4">
        <v>0.06</v>
      </c>
      <c r="Q375" s="4">
        <v>0</v>
      </c>
      <c r="R375" s="4">
        <f>IF(
    OR(Dashboard_Query[[#This Row],[Monthly Allowance]]="",Dashboard_Query[[#This Row],[Current Usage]]=""),
    "",
    MAX(0,Dashboard_Query[[#This Row],[Monthly Allowance]]-Dashboard_Query[[#This Row],[Current Usage]])
)</f>
        <v>500</v>
      </c>
      <c r="S375" s="9">
        <f>IF(OR(Dashboard_Query[[#This Row],[Monthly Allowance]]="",Dashboard_Query[[#This Row],[Current Usage]]=""),"",Dashboard_Query[[#This Row],[Current Usage]]/Dashboard_Query[[#This Row],[Monthly Allowance]])</f>
        <v>0</v>
      </c>
      <c r="T375" s="9">
        <f>IF(Dashboard_Query[[#This Row],[% Used]]="","",1-Dashboard_Query[[#This Row],[% Used]])</f>
        <v>1</v>
      </c>
      <c r="U375" s="4">
        <f>IF(OR(Dashboard_Query[[#This Row],[Monthly Allowance]]="",Dashboard_Query[[#This Row],[Current Usage]]=""),"",MAX(0,Dashboard_Query[[#This Row],[Current Usage]]-Dashboard_Query[[#This Row],[Monthly Allowance]]))</f>
        <v>0</v>
      </c>
      <c r="V375" s="4" t="str">
        <f>IF(Dashboard_Query[[#This Row],[Monthly Allowance]]="","",IF(Dashboard_Query[[#This Row],[Overage]]&gt;0,"OVER",IF(Dashboard_Query[[#This Row],[% Used]]&gt;=0.8,"WARNING","OK")))</f>
        <v>OK</v>
      </c>
    </row>
    <row r="376" spans="1:22">
      <c r="A376" s="4" t="s">
        <v>182</v>
      </c>
      <c r="B376" s="4">
        <v>814461</v>
      </c>
      <c r="C376" s="4" t="s">
        <v>472</v>
      </c>
      <c r="D376" s="4" t="s">
        <v>393</v>
      </c>
      <c r="E376" s="4" t="s">
        <v>128</v>
      </c>
      <c r="F376" s="4">
        <v>211122084</v>
      </c>
      <c r="G376" s="6">
        <v>46248</v>
      </c>
      <c r="H376" s="6">
        <v>46248</v>
      </c>
      <c r="I376" s="32">
        <v>46279</v>
      </c>
      <c r="J376" s="1">
        <v>21</v>
      </c>
      <c r="K376" s="4">
        <v>500</v>
      </c>
      <c r="L376" s="4" t="s">
        <v>122</v>
      </c>
      <c r="M376" s="4" t="s">
        <v>123</v>
      </c>
      <c r="N376" s="6">
        <v>46248</v>
      </c>
      <c r="O376" s="1"/>
      <c r="P376" s="4">
        <v>74.5</v>
      </c>
      <c r="Q376" s="4">
        <v>0</v>
      </c>
      <c r="R376" s="4">
        <f>IF(
    OR(Dashboard_Query[[#This Row],[Monthly Allowance]]="",Dashboard_Query[[#This Row],[Current Usage]]=""),
    "",
    MAX(0,Dashboard_Query[[#This Row],[Monthly Allowance]]-Dashboard_Query[[#This Row],[Current Usage]])
)</f>
        <v>500</v>
      </c>
      <c r="S376" s="9">
        <f>IF(OR(Dashboard_Query[[#This Row],[Monthly Allowance]]="",Dashboard_Query[[#This Row],[Current Usage]]=""),"",Dashboard_Query[[#This Row],[Current Usage]]/Dashboard_Query[[#This Row],[Monthly Allowance]])</f>
        <v>0</v>
      </c>
      <c r="T376" s="9">
        <f>IF(Dashboard_Query[[#This Row],[% Used]]="","",1-Dashboard_Query[[#This Row],[% Used]])</f>
        <v>1</v>
      </c>
      <c r="U376" s="4">
        <f>IF(OR(Dashboard_Query[[#This Row],[Monthly Allowance]]="",Dashboard_Query[[#This Row],[Current Usage]]=""),"",MAX(0,Dashboard_Query[[#This Row],[Current Usage]]-Dashboard_Query[[#This Row],[Monthly Allowance]]))</f>
        <v>0</v>
      </c>
      <c r="V376" s="4" t="str">
        <f>IF(Dashboard_Query[[#This Row],[Monthly Allowance]]="","",IF(Dashboard_Query[[#This Row],[Overage]]&gt;0,"OVER",IF(Dashboard_Query[[#This Row],[% Used]]&gt;=0.8,"WARNING","OK")))</f>
        <v>OK</v>
      </c>
    </row>
    <row r="377" spans="1:22">
      <c r="A377" s="4" t="s">
        <v>149</v>
      </c>
      <c r="B377" s="4">
        <v>814452</v>
      </c>
      <c r="C377" s="4" t="s">
        <v>472</v>
      </c>
      <c r="D377" s="4" t="s">
        <v>393</v>
      </c>
      <c r="E377" s="4" t="s">
        <v>128</v>
      </c>
      <c r="F377" s="4">
        <v>211122084</v>
      </c>
      <c r="G377" s="6">
        <v>46248</v>
      </c>
      <c r="H377" s="6">
        <v>46248</v>
      </c>
      <c r="I377" s="32">
        <v>46279</v>
      </c>
      <c r="J377" s="1">
        <v>21</v>
      </c>
      <c r="K377" s="4">
        <v>500</v>
      </c>
      <c r="L377" s="4" t="s">
        <v>122</v>
      </c>
      <c r="M377" s="4" t="s">
        <v>123</v>
      </c>
      <c r="N377" s="6">
        <v>46248</v>
      </c>
      <c r="O377" s="1"/>
      <c r="P377" s="4">
        <v>245.67</v>
      </c>
      <c r="Q377" s="4">
        <v>0</v>
      </c>
      <c r="R377" s="4">
        <f>IF(
    OR(Dashboard_Query[[#This Row],[Monthly Allowance]]="",Dashboard_Query[[#This Row],[Current Usage]]=""),
    "",
    MAX(0,Dashboard_Query[[#This Row],[Monthly Allowance]]-Dashboard_Query[[#This Row],[Current Usage]])
)</f>
        <v>500</v>
      </c>
      <c r="S377" s="9">
        <f>IF(OR(Dashboard_Query[[#This Row],[Monthly Allowance]]="",Dashboard_Query[[#This Row],[Current Usage]]=""),"",Dashboard_Query[[#This Row],[Current Usage]]/Dashboard_Query[[#This Row],[Monthly Allowance]])</f>
        <v>0</v>
      </c>
      <c r="T377" s="9">
        <f>IF(Dashboard_Query[[#This Row],[% Used]]="","",1-Dashboard_Query[[#This Row],[% Used]])</f>
        <v>1</v>
      </c>
      <c r="U377" s="4">
        <f>IF(OR(Dashboard_Query[[#This Row],[Monthly Allowance]]="",Dashboard_Query[[#This Row],[Current Usage]]=""),"",MAX(0,Dashboard_Query[[#This Row],[Current Usage]]-Dashboard_Query[[#This Row],[Monthly Allowance]]))</f>
        <v>0</v>
      </c>
      <c r="V377" s="4" t="str">
        <f>IF(Dashboard_Query[[#This Row],[Monthly Allowance]]="","",IF(Dashboard_Query[[#This Row],[Overage]]&gt;0,"OVER",IF(Dashboard_Query[[#This Row],[% Used]]&gt;=0.8,"WARNING","OK")))</f>
        <v>OK</v>
      </c>
    </row>
    <row r="378" spans="1:22">
      <c r="A378" s="4" t="s">
        <v>196</v>
      </c>
      <c r="B378" s="4">
        <v>814454</v>
      </c>
      <c r="C378" s="4" t="s">
        <v>472</v>
      </c>
      <c r="D378" s="4" t="s">
        <v>393</v>
      </c>
      <c r="E378" s="4" t="s">
        <v>128</v>
      </c>
      <c r="F378" s="4">
        <v>211122084</v>
      </c>
      <c r="G378" s="6">
        <v>46248</v>
      </c>
      <c r="H378" s="6">
        <v>46248</v>
      </c>
      <c r="I378" s="32">
        <v>46279</v>
      </c>
      <c r="J378" s="1">
        <v>21</v>
      </c>
      <c r="K378" s="4">
        <v>500</v>
      </c>
      <c r="L378" s="4" t="s">
        <v>122</v>
      </c>
      <c r="M378" s="4" t="s">
        <v>123</v>
      </c>
      <c r="N378" s="6">
        <v>46248</v>
      </c>
      <c r="O378" s="1"/>
      <c r="P378" s="4">
        <v>38.090000000000003</v>
      </c>
      <c r="Q378" s="4">
        <v>0</v>
      </c>
      <c r="R378" s="4">
        <f>IF(
    OR(Dashboard_Query[[#This Row],[Monthly Allowance]]="",Dashboard_Query[[#This Row],[Current Usage]]=""),
    "",
    MAX(0,Dashboard_Query[[#This Row],[Monthly Allowance]]-Dashboard_Query[[#This Row],[Current Usage]])
)</f>
        <v>500</v>
      </c>
      <c r="S378" s="9">
        <f>IF(OR(Dashboard_Query[[#This Row],[Monthly Allowance]]="",Dashboard_Query[[#This Row],[Current Usage]]=""),"",Dashboard_Query[[#This Row],[Current Usage]]/Dashboard_Query[[#This Row],[Monthly Allowance]])</f>
        <v>0</v>
      </c>
      <c r="T378" s="9">
        <f>IF(Dashboard_Query[[#This Row],[% Used]]="","",1-Dashboard_Query[[#This Row],[% Used]])</f>
        <v>1</v>
      </c>
      <c r="U378" s="4">
        <f>IF(OR(Dashboard_Query[[#This Row],[Monthly Allowance]]="",Dashboard_Query[[#This Row],[Current Usage]]=""),"",MAX(0,Dashboard_Query[[#This Row],[Current Usage]]-Dashboard_Query[[#This Row],[Monthly Allowance]]))</f>
        <v>0</v>
      </c>
      <c r="V378" s="4" t="str">
        <f>IF(Dashboard_Query[[#This Row],[Monthly Allowance]]="","",IF(Dashboard_Query[[#This Row],[Overage]]&gt;0,"OVER",IF(Dashboard_Query[[#This Row],[% Used]]&gt;=0.8,"WARNING","OK")))</f>
        <v>OK</v>
      </c>
    </row>
    <row r="379" spans="1:22">
      <c r="A379" s="4"/>
      <c r="B379" s="4"/>
      <c r="C379" s="4"/>
      <c r="D379" s="4"/>
      <c r="E379" s="4"/>
      <c r="F379" s="4"/>
      <c r="G379" s="4"/>
      <c r="U379" s="4"/>
      <c r="V379" s="9"/>
    </row>
    <row r="380" spans="1:22">
      <c r="A380" s="4"/>
      <c r="B380" s="4"/>
      <c r="C380" s="4"/>
      <c r="D380" s="4"/>
      <c r="E380" s="4"/>
      <c r="F380" s="4"/>
      <c r="G380" s="4"/>
      <c r="U380" s="4"/>
      <c r="V380" s="9"/>
    </row>
    <row r="381" spans="1:22">
      <c r="A381" s="4"/>
      <c r="B381" s="4"/>
      <c r="C381" s="4"/>
      <c r="D381" s="4"/>
      <c r="E381" s="4"/>
      <c r="F381" s="4"/>
      <c r="G381" s="4"/>
      <c r="U381" s="4"/>
      <c r="V381" s="9"/>
    </row>
  </sheetData>
  <mergeCells count="1">
    <mergeCell ref="A1:X2"/>
  </mergeCells>
  <phoneticPr fontId="2" type="noConversion"/>
  <conditionalFormatting sqref="Y1:Y2 Y3:AA8 V9:V378 Y223:AA1048576">
    <cfRule type="cellIs" dxfId="24" priority="1" operator="equal">
      <formula>"Warning"</formula>
    </cfRule>
    <cfRule type="cellIs" dxfId="23" priority="2" operator="equal">
      <formula>"Over"</formula>
    </cfRule>
    <cfRule type="cellIs" dxfId="22" priority="3" operator="equal">
      <formula>"OK"</formula>
    </cfRule>
  </conditionalFormatting>
  <pageMargins left="0.7" right="0.7" top="0.75" bottom="0.75" header="0.3" footer="0.3"/>
  <tableParts count="2">
    <tablePart r:id="rId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A650A-9618-4D7C-B05B-002E95E7C454}">
  <sheetPr>
    <tabColor rgb="FFFFFF00"/>
  </sheetPr>
  <dimension ref="A1:T370"/>
  <sheetViews>
    <sheetView tabSelected="1" zoomScale="98" zoomScaleNormal="98" workbookViewId="0">
      <selection activeCell="A229" sqref="A229"/>
    </sheetView>
  </sheetViews>
  <sheetFormatPr defaultColWidth="9" defaultRowHeight="15"/>
  <cols>
    <col min="1" max="1" width="19.875" style="33" bestFit="1" customWidth="1"/>
    <col min="2" max="2" width="19.875" style="33" customWidth="1"/>
    <col min="3" max="3" width="24.5" style="33" bestFit="1" customWidth="1"/>
    <col min="4" max="4" width="18.875" style="33" customWidth="1"/>
    <col min="5" max="5" width="33.5" style="33" customWidth="1"/>
    <col min="6" max="6" width="22.875" style="33" customWidth="1"/>
    <col min="7" max="7" width="19.5" style="33" bestFit="1" customWidth="1"/>
    <col min="8" max="8" width="29" style="33" customWidth="1"/>
    <col min="9" max="9" width="23.5" style="33" customWidth="1"/>
    <col min="10" max="10" width="20.625" style="33" customWidth="1"/>
    <col min="11" max="18" width="9" style="34"/>
    <col min="19" max="19" width="11.625" style="34" customWidth="1"/>
    <col min="20" max="16384" width="9" style="34"/>
  </cols>
  <sheetData>
    <row r="1" spans="1:20">
      <c r="A1" s="33" t="s">
        <v>13</v>
      </c>
      <c r="B1" s="33" t="s">
        <v>14</v>
      </c>
      <c r="C1" s="33" t="s">
        <v>15</v>
      </c>
      <c r="D1" s="33" t="s">
        <v>16</v>
      </c>
      <c r="E1" s="33" t="s">
        <v>17</v>
      </c>
      <c r="F1" s="33" t="s">
        <v>18</v>
      </c>
      <c r="G1" s="33" t="s">
        <v>19</v>
      </c>
      <c r="H1" s="33" t="s">
        <v>23</v>
      </c>
      <c r="I1" s="33" t="s">
        <v>25</v>
      </c>
      <c r="J1" s="33" t="s">
        <v>24</v>
      </c>
    </row>
    <row r="2" spans="1:20">
      <c r="A2" s="47" t="s">
        <v>140</v>
      </c>
      <c r="B2" s="35">
        <v>807635</v>
      </c>
      <c r="C2" s="35" t="s">
        <v>141</v>
      </c>
      <c r="D2" s="35" t="s">
        <v>142</v>
      </c>
      <c r="E2" s="36" t="s">
        <v>143</v>
      </c>
      <c r="F2" s="35">
        <v>211118386</v>
      </c>
      <c r="G2" s="37">
        <v>46170</v>
      </c>
      <c r="H2" s="33">
        <v>1000</v>
      </c>
      <c r="I2" s="33" t="s">
        <v>123</v>
      </c>
      <c r="J2" s="33" t="s">
        <v>122</v>
      </c>
    </row>
    <row r="3" spans="1:20">
      <c r="A3" s="47" t="s">
        <v>322</v>
      </c>
      <c r="B3" s="35">
        <v>807636</v>
      </c>
      <c r="C3" s="35" t="s">
        <v>141</v>
      </c>
      <c r="D3" s="35" t="s">
        <v>142</v>
      </c>
      <c r="E3" s="35" t="s">
        <v>143</v>
      </c>
      <c r="F3" s="35">
        <v>211118386</v>
      </c>
      <c r="G3" s="37">
        <v>46170</v>
      </c>
      <c r="H3" s="33">
        <v>500</v>
      </c>
      <c r="I3" s="33" t="s">
        <v>123</v>
      </c>
      <c r="J3" s="33" t="s">
        <v>122</v>
      </c>
    </row>
    <row r="4" spans="1:20">
      <c r="A4" s="47" t="s">
        <v>202</v>
      </c>
      <c r="B4" s="35">
        <v>809605</v>
      </c>
      <c r="C4" s="35" t="s">
        <v>203</v>
      </c>
      <c r="D4" s="35" t="s">
        <v>204</v>
      </c>
      <c r="E4" s="35" t="s">
        <v>205</v>
      </c>
      <c r="F4" s="35">
        <v>211120610</v>
      </c>
      <c r="G4" s="37">
        <v>46202</v>
      </c>
      <c r="H4" s="33">
        <v>1000</v>
      </c>
      <c r="I4" s="33" t="s">
        <v>123</v>
      </c>
      <c r="J4" s="33" t="s">
        <v>122</v>
      </c>
    </row>
    <row r="5" spans="1:20">
      <c r="A5" s="47" t="s">
        <v>256</v>
      </c>
      <c r="B5" s="35">
        <v>812795</v>
      </c>
      <c r="C5" s="35" t="s">
        <v>237</v>
      </c>
      <c r="D5" s="35" t="s">
        <v>238</v>
      </c>
      <c r="E5" s="38" t="s">
        <v>239</v>
      </c>
      <c r="F5" s="35">
        <v>211120662</v>
      </c>
      <c r="G5" s="37">
        <v>46203</v>
      </c>
      <c r="H5" s="33">
        <v>500</v>
      </c>
      <c r="I5" s="33" t="s">
        <v>123</v>
      </c>
      <c r="J5" s="33" t="s">
        <v>122</v>
      </c>
    </row>
    <row r="6" spans="1:20">
      <c r="A6" s="47" t="s">
        <v>279</v>
      </c>
      <c r="B6" s="35">
        <v>812798</v>
      </c>
      <c r="C6" s="35" t="s">
        <v>173</v>
      </c>
      <c r="D6" s="35" t="s">
        <v>174</v>
      </c>
      <c r="E6" s="35" t="s">
        <v>175</v>
      </c>
      <c r="F6" s="35">
        <v>211120714</v>
      </c>
      <c r="G6" s="37">
        <v>46204</v>
      </c>
      <c r="H6" s="33">
        <v>500</v>
      </c>
      <c r="I6" s="33" t="s">
        <v>123</v>
      </c>
      <c r="J6" s="33" t="s">
        <v>122</v>
      </c>
      <c r="T6" s="34" t="s">
        <v>123</v>
      </c>
    </row>
    <row r="7" spans="1:20">
      <c r="A7" s="47" t="s">
        <v>277</v>
      </c>
      <c r="B7" s="35">
        <v>812799</v>
      </c>
      <c r="C7" s="35" t="s">
        <v>173</v>
      </c>
      <c r="D7" s="35" t="s">
        <v>174</v>
      </c>
      <c r="E7" s="35" t="s">
        <v>175</v>
      </c>
      <c r="F7" s="35">
        <v>211120714</v>
      </c>
      <c r="G7" s="37">
        <v>46204</v>
      </c>
      <c r="H7" s="33">
        <v>500</v>
      </c>
      <c r="I7" s="33" t="s">
        <v>123</v>
      </c>
      <c r="J7" s="33" t="s">
        <v>122</v>
      </c>
      <c r="T7" s="34" t="s">
        <v>35</v>
      </c>
    </row>
    <row r="8" spans="1:20">
      <c r="A8" s="47" t="s">
        <v>329</v>
      </c>
      <c r="B8" s="35">
        <v>812805</v>
      </c>
      <c r="C8" s="35" t="s">
        <v>173</v>
      </c>
      <c r="D8" s="35" t="s">
        <v>174</v>
      </c>
      <c r="E8" s="35" t="s">
        <v>175</v>
      </c>
      <c r="F8" s="35">
        <v>211120714</v>
      </c>
      <c r="G8" s="37">
        <v>46204</v>
      </c>
      <c r="H8" s="33">
        <v>500</v>
      </c>
      <c r="I8" s="33" t="s">
        <v>123</v>
      </c>
      <c r="J8" s="33" t="s">
        <v>122</v>
      </c>
    </row>
    <row r="9" spans="1:20">
      <c r="A9" s="47" t="s">
        <v>330</v>
      </c>
      <c r="B9" s="35">
        <v>812807</v>
      </c>
      <c r="C9" s="35" t="s">
        <v>173</v>
      </c>
      <c r="D9" s="35" t="s">
        <v>174</v>
      </c>
      <c r="E9" s="35" t="s">
        <v>175</v>
      </c>
      <c r="F9" s="35">
        <v>211120714</v>
      </c>
      <c r="G9" s="37">
        <v>46204</v>
      </c>
      <c r="H9" s="33">
        <v>500</v>
      </c>
      <c r="I9" s="33" t="s">
        <v>123</v>
      </c>
      <c r="J9" s="33" t="s">
        <v>122</v>
      </c>
    </row>
    <row r="10" spans="1:20">
      <c r="A10" s="47" t="s">
        <v>332</v>
      </c>
      <c r="B10" s="35">
        <v>812808</v>
      </c>
      <c r="C10" s="35" t="s">
        <v>173</v>
      </c>
      <c r="D10" s="35" t="s">
        <v>174</v>
      </c>
      <c r="E10" s="35" t="s">
        <v>175</v>
      </c>
      <c r="F10" s="35">
        <v>211120714</v>
      </c>
      <c r="G10" s="37">
        <v>46204</v>
      </c>
      <c r="H10" s="33">
        <v>500</v>
      </c>
      <c r="I10" s="33" t="s">
        <v>123</v>
      </c>
      <c r="J10" s="33" t="s">
        <v>122</v>
      </c>
    </row>
    <row r="11" spans="1:20">
      <c r="A11" s="47" t="s">
        <v>335</v>
      </c>
      <c r="B11" s="35">
        <v>812822</v>
      </c>
      <c r="C11" s="35" t="s">
        <v>173</v>
      </c>
      <c r="D11" s="35" t="s">
        <v>174</v>
      </c>
      <c r="E11" s="35" t="s">
        <v>175</v>
      </c>
      <c r="F11" s="35">
        <v>211120714</v>
      </c>
      <c r="G11" s="37">
        <v>46204</v>
      </c>
      <c r="H11" s="33">
        <v>500</v>
      </c>
      <c r="I11" s="33" t="s">
        <v>123</v>
      </c>
      <c r="J11" s="33" t="s">
        <v>122</v>
      </c>
    </row>
    <row r="12" spans="1:20">
      <c r="A12" s="47" t="s">
        <v>172</v>
      </c>
      <c r="B12" s="35">
        <v>812823</v>
      </c>
      <c r="C12" s="35" t="s">
        <v>173</v>
      </c>
      <c r="D12" s="35" t="s">
        <v>174</v>
      </c>
      <c r="E12" s="35" t="s">
        <v>175</v>
      </c>
      <c r="F12" s="35">
        <v>211120714</v>
      </c>
      <c r="G12" s="37">
        <v>46204</v>
      </c>
      <c r="H12" s="33">
        <v>500</v>
      </c>
      <c r="I12" s="33" t="s">
        <v>123</v>
      </c>
      <c r="J12" s="33" t="s">
        <v>122</v>
      </c>
    </row>
    <row r="13" spans="1:20">
      <c r="A13" s="47" t="s">
        <v>287</v>
      </c>
      <c r="B13" s="35">
        <v>812830</v>
      </c>
      <c r="C13" s="38" t="s">
        <v>173</v>
      </c>
      <c r="D13" s="38" t="s">
        <v>174</v>
      </c>
      <c r="E13" s="35" t="s">
        <v>175</v>
      </c>
      <c r="F13" s="38">
        <v>211120714</v>
      </c>
      <c r="G13" s="39">
        <v>46204</v>
      </c>
      <c r="H13" s="33">
        <v>500</v>
      </c>
      <c r="I13" s="33" t="s">
        <v>123</v>
      </c>
      <c r="J13" s="33" t="s">
        <v>122</v>
      </c>
      <c r="T13" s="34" t="s">
        <v>122</v>
      </c>
    </row>
    <row r="14" spans="1:20">
      <c r="A14" s="47" t="s">
        <v>251</v>
      </c>
      <c r="B14" s="35">
        <v>812836</v>
      </c>
      <c r="C14" s="35" t="s">
        <v>173</v>
      </c>
      <c r="D14" s="35" t="s">
        <v>174</v>
      </c>
      <c r="E14" s="35" t="s">
        <v>175</v>
      </c>
      <c r="F14" s="35">
        <v>211120714</v>
      </c>
      <c r="G14" s="37">
        <v>46204</v>
      </c>
      <c r="H14" s="33">
        <v>500</v>
      </c>
      <c r="I14" s="33" t="s">
        <v>123</v>
      </c>
      <c r="J14" s="33" t="s">
        <v>122</v>
      </c>
      <c r="T14" s="34" t="s">
        <v>381</v>
      </c>
    </row>
    <row r="15" spans="1:20">
      <c r="A15" s="47" t="s">
        <v>343</v>
      </c>
      <c r="B15" s="35">
        <v>812837</v>
      </c>
      <c r="C15" s="35" t="s">
        <v>173</v>
      </c>
      <c r="D15" s="35" t="s">
        <v>174</v>
      </c>
      <c r="E15" s="35" t="s">
        <v>175</v>
      </c>
      <c r="F15" s="35">
        <v>211120714</v>
      </c>
      <c r="G15" s="37">
        <v>46204</v>
      </c>
      <c r="H15" s="33">
        <v>500</v>
      </c>
      <c r="I15" s="33" t="s">
        <v>123</v>
      </c>
      <c r="J15" s="33" t="s">
        <v>122</v>
      </c>
    </row>
    <row r="16" spans="1:20">
      <c r="A16" s="47" t="s">
        <v>298</v>
      </c>
      <c r="B16" s="35">
        <v>812838</v>
      </c>
      <c r="C16" s="35" t="s">
        <v>173</v>
      </c>
      <c r="D16" s="35" t="s">
        <v>174</v>
      </c>
      <c r="E16" s="35" t="s">
        <v>175</v>
      </c>
      <c r="F16" s="35">
        <v>211120714</v>
      </c>
      <c r="G16" s="37">
        <v>46204</v>
      </c>
      <c r="H16" s="33">
        <v>500</v>
      </c>
      <c r="I16" s="33" t="s">
        <v>123</v>
      </c>
      <c r="J16" s="33" t="s">
        <v>122</v>
      </c>
    </row>
    <row r="17" spans="1:10">
      <c r="A17" s="47" t="s">
        <v>294</v>
      </c>
      <c r="B17" s="35">
        <v>812840</v>
      </c>
      <c r="C17" s="35" t="s">
        <v>173</v>
      </c>
      <c r="D17" s="35" t="s">
        <v>174</v>
      </c>
      <c r="E17" s="35" t="s">
        <v>175</v>
      </c>
      <c r="F17" s="35">
        <v>211120714</v>
      </c>
      <c r="G17" s="37">
        <v>46204</v>
      </c>
      <c r="H17" s="33">
        <v>500</v>
      </c>
      <c r="I17" s="33" t="s">
        <v>123</v>
      </c>
      <c r="J17" s="33" t="s">
        <v>122</v>
      </c>
    </row>
    <row r="18" spans="1:10">
      <c r="A18" s="47" t="s">
        <v>254</v>
      </c>
      <c r="B18" s="35">
        <v>812847</v>
      </c>
      <c r="C18" s="35" t="s">
        <v>173</v>
      </c>
      <c r="D18" s="35" t="s">
        <v>174</v>
      </c>
      <c r="E18" s="35" t="s">
        <v>175</v>
      </c>
      <c r="F18" s="35">
        <v>211120714</v>
      </c>
      <c r="G18" s="37">
        <v>46204</v>
      </c>
      <c r="H18" s="33">
        <v>500</v>
      </c>
      <c r="I18" s="33" t="s">
        <v>123</v>
      </c>
      <c r="J18" s="33" t="s">
        <v>122</v>
      </c>
    </row>
    <row r="19" spans="1:10">
      <c r="A19" s="47" t="s">
        <v>324</v>
      </c>
      <c r="B19" s="35">
        <v>812848</v>
      </c>
      <c r="C19" s="35" t="s">
        <v>173</v>
      </c>
      <c r="D19" s="35" t="s">
        <v>174</v>
      </c>
      <c r="E19" s="35" t="s">
        <v>175</v>
      </c>
      <c r="F19" s="35">
        <v>211120714</v>
      </c>
      <c r="G19" s="37">
        <v>46204</v>
      </c>
      <c r="H19" s="33">
        <v>500</v>
      </c>
      <c r="I19" s="33" t="s">
        <v>123</v>
      </c>
      <c r="J19" s="33" t="s">
        <v>122</v>
      </c>
    </row>
    <row r="20" spans="1:10">
      <c r="A20" s="47" t="s">
        <v>236</v>
      </c>
      <c r="B20" s="35">
        <v>812803</v>
      </c>
      <c r="C20" s="35" t="s">
        <v>237</v>
      </c>
      <c r="D20" s="35" t="s">
        <v>238</v>
      </c>
      <c r="E20" s="38" t="s">
        <v>239</v>
      </c>
      <c r="F20" s="35">
        <v>211120721</v>
      </c>
      <c r="G20" s="37">
        <v>46204</v>
      </c>
      <c r="H20" s="33">
        <v>500</v>
      </c>
      <c r="I20" s="33" t="s">
        <v>123</v>
      </c>
      <c r="J20" s="33" t="s">
        <v>122</v>
      </c>
    </row>
    <row r="21" spans="1:10">
      <c r="A21" s="47" t="s">
        <v>350</v>
      </c>
      <c r="B21" s="35">
        <v>812784</v>
      </c>
      <c r="C21" s="35" t="s">
        <v>351</v>
      </c>
      <c r="D21" s="35" t="s">
        <v>338</v>
      </c>
      <c r="E21" s="35" t="s">
        <v>339</v>
      </c>
      <c r="F21" s="35">
        <v>211120836</v>
      </c>
      <c r="G21" s="37">
        <v>46210</v>
      </c>
      <c r="H21" s="33">
        <v>500</v>
      </c>
      <c r="I21" s="33" t="s">
        <v>123</v>
      </c>
      <c r="J21" s="33" t="s">
        <v>122</v>
      </c>
    </row>
    <row r="22" spans="1:10">
      <c r="A22" s="47" t="s">
        <v>336</v>
      </c>
      <c r="B22" s="35">
        <v>812813</v>
      </c>
      <c r="C22" s="35" t="s">
        <v>337</v>
      </c>
      <c r="D22" s="35" t="s">
        <v>338</v>
      </c>
      <c r="E22" s="35" t="s">
        <v>339</v>
      </c>
      <c r="F22" s="35">
        <v>211120837</v>
      </c>
      <c r="G22" s="37">
        <v>46210</v>
      </c>
      <c r="H22" s="33">
        <v>500</v>
      </c>
      <c r="I22" s="33" t="s">
        <v>123</v>
      </c>
      <c r="J22" s="33" t="s">
        <v>122</v>
      </c>
    </row>
    <row r="23" spans="1:10">
      <c r="A23" s="47" t="s">
        <v>353</v>
      </c>
      <c r="B23" s="35">
        <v>809876</v>
      </c>
      <c r="C23" s="35" t="s">
        <v>354</v>
      </c>
      <c r="D23" s="35" t="s">
        <v>338</v>
      </c>
      <c r="E23" s="35" t="s">
        <v>339</v>
      </c>
      <c r="F23" s="35">
        <v>211120839</v>
      </c>
      <c r="G23" s="37">
        <v>46210</v>
      </c>
      <c r="H23" s="33">
        <v>500</v>
      </c>
      <c r="I23" s="33" t="s">
        <v>123</v>
      </c>
      <c r="J23" s="33" t="s">
        <v>122</v>
      </c>
    </row>
    <row r="24" spans="1:10">
      <c r="A24" s="47" t="s">
        <v>235</v>
      </c>
      <c r="B24" s="35">
        <v>812811</v>
      </c>
      <c r="C24" s="35" t="s">
        <v>152</v>
      </c>
      <c r="D24" s="35" t="s">
        <v>153</v>
      </c>
      <c r="E24" s="35" t="s">
        <v>154</v>
      </c>
      <c r="F24" s="35">
        <v>211120865</v>
      </c>
      <c r="G24" s="37">
        <v>46211</v>
      </c>
      <c r="H24" s="33">
        <v>500</v>
      </c>
      <c r="I24" s="33" t="s">
        <v>123</v>
      </c>
      <c r="J24" s="33" t="s">
        <v>122</v>
      </c>
    </row>
    <row r="25" spans="1:10">
      <c r="A25" s="47" t="s">
        <v>234</v>
      </c>
      <c r="B25" s="35">
        <v>812818</v>
      </c>
      <c r="C25" s="35" t="s">
        <v>152</v>
      </c>
      <c r="D25" s="35" t="s">
        <v>153</v>
      </c>
      <c r="E25" s="35" t="s">
        <v>154</v>
      </c>
      <c r="F25" s="35">
        <v>211120865</v>
      </c>
      <c r="G25" s="37">
        <v>46211</v>
      </c>
      <c r="H25" s="33">
        <v>500</v>
      </c>
      <c r="I25" s="33" t="s">
        <v>123</v>
      </c>
      <c r="J25" s="33" t="s">
        <v>122</v>
      </c>
    </row>
    <row r="26" spans="1:10">
      <c r="A26" s="47" t="s">
        <v>151</v>
      </c>
      <c r="B26" s="35">
        <v>812842</v>
      </c>
      <c r="C26" s="35" t="s">
        <v>152</v>
      </c>
      <c r="D26" s="35" t="s">
        <v>153</v>
      </c>
      <c r="E26" s="35" t="s">
        <v>154</v>
      </c>
      <c r="F26" s="35">
        <v>211120865</v>
      </c>
      <c r="G26" s="37">
        <v>46211</v>
      </c>
      <c r="H26" s="33">
        <v>500</v>
      </c>
      <c r="I26" s="33" t="s">
        <v>123</v>
      </c>
      <c r="J26" s="33" t="s">
        <v>122</v>
      </c>
    </row>
    <row r="27" spans="1:10">
      <c r="A27" s="47" t="s">
        <v>346</v>
      </c>
      <c r="B27" s="35">
        <v>812843</v>
      </c>
      <c r="C27" s="35" t="s">
        <v>152</v>
      </c>
      <c r="D27" s="35" t="s">
        <v>153</v>
      </c>
      <c r="E27" s="35" t="s">
        <v>154</v>
      </c>
      <c r="F27" s="35">
        <v>211120865</v>
      </c>
      <c r="G27" s="37">
        <v>46211</v>
      </c>
      <c r="H27" s="33">
        <v>500</v>
      </c>
      <c r="I27" s="33" t="s">
        <v>123</v>
      </c>
      <c r="J27" s="33" t="s">
        <v>122</v>
      </c>
    </row>
    <row r="28" spans="1:10">
      <c r="A28" s="47" t="s">
        <v>171</v>
      </c>
      <c r="B28" s="35">
        <v>814433</v>
      </c>
      <c r="C28" s="33" t="s">
        <v>137</v>
      </c>
      <c r="D28" s="33" t="s">
        <v>138</v>
      </c>
      <c r="E28" s="36" t="s">
        <v>139</v>
      </c>
      <c r="F28" s="33">
        <v>211121030</v>
      </c>
      <c r="G28" s="37">
        <v>46217</v>
      </c>
      <c r="H28" s="33">
        <v>500</v>
      </c>
      <c r="I28" s="33" t="s">
        <v>123</v>
      </c>
      <c r="J28" s="33" t="s">
        <v>122</v>
      </c>
    </row>
    <row r="29" spans="1:10">
      <c r="A29" s="47" t="s">
        <v>193</v>
      </c>
      <c r="B29" s="35">
        <v>814483</v>
      </c>
      <c r="C29" s="33" t="s">
        <v>137</v>
      </c>
      <c r="D29" s="33" t="s">
        <v>138</v>
      </c>
      <c r="E29" s="36" t="s">
        <v>139</v>
      </c>
      <c r="F29" s="33">
        <v>211121030</v>
      </c>
      <c r="G29" s="37">
        <v>46217</v>
      </c>
      <c r="H29" s="33">
        <v>500</v>
      </c>
      <c r="I29" s="33" t="s">
        <v>123</v>
      </c>
      <c r="J29" s="33" t="s">
        <v>122</v>
      </c>
    </row>
    <row r="30" spans="1:10">
      <c r="A30" s="47" t="s">
        <v>366</v>
      </c>
      <c r="B30" s="35">
        <v>810105</v>
      </c>
      <c r="C30" s="33" t="s">
        <v>367</v>
      </c>
      <c r="D30" s="33" t="s">
        <v>368</v>
      </c>
      <c r="E30" s="33" t="s">
        <v>369</v>
      </c>
      <c r="F30" s="33">
        <v>211121141</v>
      </c>
      <c r="G30" s="37">
        <v>46221</v>
      </c>
      <c r="H30" s="33">
        <v>500</v>
      </c>
      <c r="I30" s="33" t="s">
        <v>123</v>
      </c>
      <c r="J30" s="33" t="s">
        <v>122</v>
      </c>
    </row>
    <row r="31" spans="1:10">
      <c r="A31" s="47" t="s">
        <v>370</v>
      </c>
      <c r="B31" s="35">
        <v>810649</v>
      </c>
      <c r="C31" s="33" t="s">
        <v>367</v>
      </c>
      <c r="D31" s="33" t="s">
        <v>368</v>
      </c>
      <c r="E31" s="33" t="s">
        <v>369</v>
      </c>
      <c r="F31" s="33">
        <v>211121141</v>
      </c>
      <c r="G31" s="37">
        <v>46221</v>
      </c>
      <c r="H31" s="33">
        <v>500</v>
      </c>
      <c r="I31" s="33" t="s">
        <v>123</v>
      </c>
      <c r="J31" s="33" t="s">
        <v>122</v>
      </c>
    </row>
    <row r="32" spans="1:10">
      <c r="A32" s="47" t="s">
        <v>284</v>
      </c>
      <c r="B32" s="35">
        <v>809863</v>
      </c>
      <c r="C32" s="33" t="s">
        <v>244</v>
      </c>
      <c r="D32" s="33" t="s">
        <v>245</v>
      </c>
      <c r="E32" s="33" t="s">
        <v>246</v>
      </c>
      <c r="F32" s="33">
        <v>211121204</v>
      </c>
      <c r="G32" s="37">
        <v>46224</v>
      </c>
      <c r="H32" s="33">
        <v>500</v>
      </c>
      <c r="I32" s="33" t="s">
        <v>123</v>
      </c>
      <c r="J32" s="33" t="s">
        <v>122</v>
      </c>
    </row>
    <row r="33" spans="1:10">
      <c r="A33" s="47" t="s">
        <v>345</v>
      </c>
      <c r="B33" s="35">
        <v>812796</v>
      </c>
      <c r="C33" s="33" t="s">
        <v>244</v>
      </c>
      <c r="D33" s="33" t="s">
        <v>245</v>
      </c>
      <c r="E33" s="33" t="s">
        <v>246</v>
      </c>
      <c r="F33" s="33">
        <v>211121204</v>
      </c>
      <c r="G33" s="37">
        <v>46224</v>
      </c>
      <c r="H33" s="33">
        <v>500</v>
      </c>
      <c r="I33" s="33" t="s">
        <v>123</v>
      </c>
      <c r="J33" s="33" t="s">
        <v>122</v>
      </c>
    </row>
    <row r="34" spans="1:10">
      <c r="A34" s="47" t="s">
        <v>360</v>
      </c>
      <c r="B34" s="35">
        <v>812841</v>
      </c>
      <c r="C34" s="33" t="s">
        <v>244</v>
      </c>
      <c r="D34" s="33" t="s">
        <v>245</v>
      </c>
      <c r="E34" s="33" t="s">
        <v>246</v>
      </c>
      <c r="F34" s="33">
        <v>211121204</v>
      </c>
      <c r="G34" s="37">
        <v>46224</v>
      </c>
      <c r="H34" s="33">
        <v>500</v>
      </c>
      <c r="I34" s="33" t="s">
        <v>123</v>
      </c>
      <c r="J34" s="33" t="s">
        <v>122</v>
      </c>
    </row>
    <row r="35" spans="1:10">
      <c r="A35" s="47" t="s">
        <v>373</v>
      </c>
      <c r="B35" s="35">
        <v>814444</v>
      </c>
      <c r="C35" s="33" t="s">
        <v>244</v>
      </c>
      <c r="D35" s="33" t="s">
        <v>245</v>
      </c>
      <c r="E35" s="33" t="s">
        <v>246</v>
      </c>
      <c r="F35" s="33">
        <v>211121204</v>
      </c>
      <c r="G35" s="37">
        <v>46224</v>
      </c>
      <c r="H35" s="33">
        <v>500</v>
      </c>
      <c r="I35" s="33" t="s">
        <v>123</v>
      </c>
      <c r="J35" s="33" t="s">
        <v>122</v>
      </c>
    </row>
    <row r="36" spans="1:10">
      <c r="A36" s="47" t="s">
        <v>376</v>
      </c>
      <c r="B36" s="35">
        <v>814448</v>
      </c>
      <c r="C36" s="33" t="s">
        <v>244</v>
      </c>
      <c r="D36" s="33" t="s">
        <v>245</v>
      </c>
      <c r="E36" s="33" t="s">
        <v>246</v>
      </c>
      <c r="F36" s="33">
        <v>211121204</v>
      </c>
      <c r="G36" s="37">
        <v>46224</v>
      </c>
      <c r="H36" s="33">
        <v>500</v>
      </c>
      <c r="I36" s="33" t="s">
        <v>123</v>
      </c>
      <c r="J36" s="33" t="s">
        <v>122</v>
      </c>
    </row>
    <row r="37" spans="1:10">
      <c r="A37" s="47" t="s">
        <v>349</v>
      </c>
      <c r="B37" s="35">
        <v>814455</v>
      </c>
      <c r="C37" s="33" t="s">
        <v>244</v>
      </c>
      <c r="D37" s="33" t="s">
        <v>245</v>
      </c>
      <c r="E37" s="33" t="s">
        <v>246</v>
      </c>
      <c r="F37" s="33">
        <v>211121204</v>
      </c>
      <c r="G37" s="37">
        <v>46224</v>
      </c>
      <c r="H37" s="33">
        <v>500</v>
      </c>
      <c r="I37" s="33" t="s">
        <v>123</v>
      </c>
      <c r="J37" s="33" t="s">
        <v>122</v>
      </c>
    </row>
    <row r="38" spans="1:10">
      <c r="A38" s="47" t="s">
        <v>243</v>
      </c>
      <c r="B38" s="35">
        <v>814458</v>
      </c>
      <c r="C38" s="33" t="s">
        <v>244</v>
      </c>
      <c r="D38" s="33" t="s">
        <v>245</v>
      </c>
      <c r="E38" s="33" t="s">
        <v>246</v>
      </c>
      <c r="F38" s="33">
        <v>211121204</v>
      </c>
      <c r="G38" s="37">
        <v>46224</v>
      </c>
      <c r="H38" s="33">
        <v>500</v>
      </c>
      <c r="I38" s="33" t="s">
        <v>123</v>
      </c>
      <c r="J38" s="33" t="s">
        <v>122</v>
      </c>
    </row>
    <row r="39" spans="1:10">
      <c r="A39" s="47" t="s">
        <v>364</v>
      </c>
      <c r="B39" s="35">
        <v>814466</v>
      </c>
      <c r="C39" s="33" t="s">
        <v>244</v>
      </c>
      <c r="D39" s="33" t="s">
        <v>245</v>
      </c>
      <c r="E39" s="33" t="s">
        <v>246</v>
      </c>
      <c r="F39" s="33">
        <v>211121204</v>
      </c>
      <c r="G39" s="37">
        <v>46224</v>
      </c>
      <c r="H39" s="33">
        <v>500</v>
      </c>
      <c r="I39" s="33" t="s">
        <v>123</v>
      </c>
      <c r="J39" s="33" t="s">
        <v>122</v>
      </c>
    </row>
    <row r="40" spans="1:10">
      <c r="A40" s="47" t="s">
        <v>281</v>
      </c>
      <c r="B40" s="35">
        <v>810648</v>
      </c>
      <c r="C40" s="33" t="s">
        <v>130</v>
      </c>
      <c r="D40" s="33" t="s">
        <v>131</v>
      </c>
      <c r="E40" s="33" t="s">
        <v>132</v>
      </c>
      <c r="F40" s="33">
        <v>211121322</v>
      </c>
      <c r="G40" s="37">
        <v>46226</v>
      </c>
      <c r="H40" s="33">
        <v>500</v>
      </c>
      <c r="I40" s="33" t="s">
        <v>123</v>
      </c>
      <c r="J40" s="33" t="s">
        <v>122</v>
      </c>
    </row>
    <row r="41" spans="1:10">
      <c r="A41" s="47" t="s">
        <v>222</v>
      </c>
      <c r="B41" s="35">
        <v>809606</v>
      </c>
      <c r="C41" s="38" t="s">
        <v>179</v>
      </c>
      <c r="D41" s="38" t="s">
        <v>223</v>
      </c>
      <c r="E41" s="38" t="s">
        <v>224</v>
      </c>
      <c r="F41" s="38">
        <v>211121575</v>
      </c>
      <c r="G41" s="37">
        <v>46233</v>
      </c>
      <c r="H41" s="33">
        <v>1000</v>
      </c>
      <c r="I41" s="33" t="s">
        <v>123</v>
      </c>
      <c r="J41" s="33" t="s">
        <v>122</v>
      </c>
    </row>
    <row r="42" spans="1:10">
      <c r="A42" s="47" t="s">
        <v>473</v>
      </c>
      <c r="B42" s="35">
        <v>812921</v>
      </c>
      <c r="C42" s="35" t="s">
        <v>126</v>
      </c>
      <c r="D42" s="35" t="s">
        <v>127</v>
      </c>
      <c r="E42" s="35" t="s">
        <v>128</v>
      </c>
      <c r="F42" s="35">
        <v>211121595</v>
      </c>
      <c r="G42" s="37">
        <v>46233</v>
      </c>
      <c r="H42" s="33">
        <v>2000</v>
      </c>
      <c r="I42" s="33" t="s">
        <v>123</v>
      </c>
      <c r="J42" s="33" t="s">
        <v>122</v>
      </c>
    </row>
    <row r="43" spans="1:10">
      <c r="A43" s="47" t="s">
        <v>125</v>
      </c>
      <c r="B43" s="38">
        <v>812924</v>
      </c>
      <c r="C43" s="35" t="s">
        <v>126</v>
      </c>
      <c r="D43" s="35" t="s">
        <v>127</v>
      </c>
      <c r="E43" s="35" t="s">
        <v>128</v>
      </c>
      <c r="F43" s="35">
        <v>211121595</v>
      </c>
      <c r="G43" s="37">
        <v>46233</v>
      </c>
      <c r="H43" s="33">
        <v>3000</v>
      </c>
      <c r="I43" s="33" t="s">
        <v>123</v>
      </c>
      <c r="J43" s="33" t="s">
        <v>122</v>
      </c>
    </row>
    <row r="44" spans="1:10">
      <c r="A44" s="47" t="s">
        <v>148</v>
      </c>
      <c r="B44" s="30">
        <v>812925</v>
      </c>
      <c r="C44" s="35" t="s">
        <v>126</v>
      </c>
      <c r="D44" s="35" t="s">
        <v>127</v>
      </c>
      <c r="E44" s="35" t="s">
        <v>128</v>
      </c>
      <c r="F44" s="35">
        <v>211121595</v>
      </c>
      <c r="G44" s="37">
        <v>46233</v>
      </c>
      <c r="H44" s="33">
        <v>2000</v>
      </c>
      <c r="I44" s="33" t="s">
        <v>123</v>
      </c>
      <c r="J44" s="33" t="s">
        <v>122</v>
      </c>
    </row>
    <row r="45" spans="1:10">
      <c r="A45" s="47" t="s">
        <v>157</v>
      </c>
      <c r="B45" s="35">
        <v>812930</v>
      </c>
      <c r="C45" s="35" t="s">
        <v>126</v>
      </c>
      <c r="D45" s="35" t="s">
        <v>127</v>
      </c>
      <c r="E45" s="35" t="s">
        <v>128</v>
      </c>
      <c r="F45" s="35">
        <v>211121595</v>
      </c>
      <c r="G45" s="37">
        <v>46233</v>
      </c>
      <c r="H45" s="33">
        <v>2000</v>
      </c>
      <c r="I45" s="33" t="s">
        <v>123</v>
      </c>
      <c r="J45" s="33" t="s">
        <v>122</v>
      </c>
    </row>
    <row r="46" spans="1:10">
      <c r="A46" s="47" t="s">
        <v>228</v>
      </c>
      <c r="B46" s="35">
        <v>809618</v>
      </c>
      <c r="C46" s="35" t="s">
        <v>229</v>
      </c>
      <c r="D46" s="35" t="s">
        <v>230</v>
      </c>
      <c r="E46" s="41" t="s">
        <v>231</v>
      </c>
      <c r="F46" s="35">
        <v>211121626</v>
      </c>
      <c r="G46" s="37">
        <v>46235</v>
      </c>
      <c r="H46" s="33">
        <v>500</v>
      </c>
      <c r="I46" s="33" t="s">
        <v>123</v>
      </c>
      <c r="J46" s="33" t="s">
        <v>122</v>
      </c>
    </row>
    <row r="47" spans="1:10">
      <c r="A47" s="47" t="s">
        <v>288</v>
      </c>
      <c r="B47" s="35">
        <v>809662</v>
      </c>
      <c r="C47" s="35" t="s">
        <v>229</v>
      </c>
      <c r="D47" s="35" t="s">
        <v>230</v>
      </c>
      <c r="E47" s="41" t="s">
        <v>231</v>
      </c>
      <c r="F47" s="35">
        <v>211121626</v>
      </c>
      <c r="G47" s="37">
        <v>46235</v>
      </c>
      <c r="H47" s="33">
        <v>500</v>
      </c>
      <c r="I47" s="33" t="s">
        <v>123</v>
      </c>
      <c r="J47" s="33" t="s">
        <v>122</v>
      </c>
    </row>
    <row r="48" spans="1:10">
      <c r="A48" s="47" t="s">
        <v>274</v>
      </c>
      <c r="B48" s="35">
        <v>809859</v>
      </c>
      <c r="C48" s="35" t="s">
        <v>229</v>
      </c>
      <c r="D48" s="35" t="s">
        <v>230</v>
      </c>
      <c r="E48" s="41" t="s">
        <v>231</v>
      </c>
      <c r="F48" s="35">
        <v>211121626</v>
      </c>
      <c r="G48" s="37">
        <v>46235</v>
      </c>
      <c r="H48" s="33">
        <v>500</v>
      </c>
      <c r="I48" s="33" t="s">
        <v>123</v>
      </c>
      <c r="J48" s="33" t="s">
        <v>122</v>
      </c>
    </row>
    <row r="49" spans="1:10">
      <c r="A49" s="47" t="s">
        <v>269</v>
      </c>
      <c r="B49" s="35">
        <v>810102</v>
      </c>
      <c r="C49" s="35" t="s">
        <v>229</v>
      </c>
      <c r="D49" s="35" t="s">
        <v>230</v>
      </c>
      <c r="E49" s="41" t="s">
        <v>231</v>
      </c>
      <c r="F49" s="35">
        <v>211121626</v>
      </c>
      <c r="G49" s="37">
        <v>46235</v>
      </c>
      <c r="H49" s="33">
        <v>500</v>
      </c>
      <c r="I49" s="33" t="s">
        <v>123</v>
      </c>
      <c r="J49" s="33" t="s">
        <v>122</v>
      </c>
    </row>
    <row r="50" spans="1:10">
      <c r="A50" s="47" t="s">
        <v>352</v>
      </c>
      <c r="B50" s="35">
        <v>809611</v>
      </c>
      <c r="C50" s="35" t="s">
        <v>186</v>
      </c>
      <c r="D50" s="35" t="s">
        <v>187</v>
      </c>
      <c r="E50" s="36" t="s">
        <v>188</v>
      </c>
      <c r="F50" s="35">
        <v>211121633</v>
      </c>
      <c r="G50" s="37">
        <v>46237</v>
      </c>
      <c r="H50" s="33">
        <v>500</v>
      </c>
      <c r="I50" s="33" t="s">
        <v>123</v>
      </c>
      <c r="J50" s="33" t="s">
        <v>122</v>
      </c>
    </row>
    <row r="51" spans="1:10">
      <c r="A51" s="47" t="s">
        <v>221</v>
      </c>
      <c r="B51" s="35">
        <v>809663</v>
      </c>
      <c r="C51" s="35" t="s">
        <v>186</v>
      </c>
      <c r="D51" s="35" t="s">
        <v>187</v>
      </c>
      <c r="E51" s="36" t="s">
        <v>188</v>
      </c>
      <c r="F51" s="35">
        <v>211121633</v>
      </c>
      <c r="G51" s="37">
        <v>46237</v>
      </c>
      <c r="H51" s="33">
        <v>500</v>
      </c>
      <c r="I51" s="33" t="s">
        <v>123</v>
      </c>
      <c r="J51" s="33" t="s">
        <v>122</v>
      </c>
    </row>
    <row r="52" spans="1:10">
      <c r="A52" s="47" t="s">
        <v>355</v>
      </c>
      <c r="B52" s="35">
        <v>809861</v>
      </c>
      <c r="C52" s="35" t="s">
        <v>186</v>
      </c>
      <c r="D52" s="35" t="s">
        <v>187</v>
      </c>
      <c r="E52" s="36" t="s">
        <v>188</v>
      </c>
      <c r="F52" s="35">
        <v>211121633</v>
      </c>
      <c r="G52" s="37">
        <v>46237</v>
      </c>
      <c r="H52" s="33">
        <v>500</v>
      </c>
      <c r="I52" s="33" t="s">
        <v>123</v>
      </c>
      <c r="J52" s="33" t="s">
        <v>122</v>
      </c>
    </row>
    <row r="53" spans="1:10">
      <c r="A53" s="47" t="s">
        <v>356</v>
      </c>
      <c r="B53" s="35">
        <v>809862</v>
      </c>
      <c r="C53" s="35" t="s">
        <v>186</v>
      </c>
      <c r="D53" s="35" t="s">
        <v>187</v>
      </c>
      <c r="E53" s="36" t="s">
        <v>188</v>
      </c>
      <c r="F53" s="35">
        <v>211121633</v>
      </c>
      <c r="G53" s="37">
        <v>46237</v>
      </c>
      <c r="H53" s="33">
        <v>500</v>
      </c>
      <c r="I53" s="33" t="s">
        <v>123</v>
      </c>
      <c r="J53" s="33" t="s">
        <v>122</v>
      </c>
    </row>
    <row r="54" spans="1:10">
      <c r="A54" s="47" t="s">
        <v>263</v>
      </c>
      <c r="B54" s="35">
        <v>810100</v>
      </c>
      <c r="C54" s="35" t="s">
        <v>186</v>
      </c>
      <c r="D54" s="35" t="s">
        <v>187</v>
      </c>
      <c r="E54" s="36" t="s">
        <v>188</v>
      </c>
      <c r="F54" s="35">
        <v>211121633</v>
      </c>
      <c r="G54" s="37">
        <v>46237</v>
      </c>
      <c r="H54" s="33">
        <v>500</v>
      </c>
      <c r="I54" s="33" t="s">
        <v>123</v>
      </c>
      <c r="J54" s="33" t="s">
        <v>122</v>
      </c>
    </row>
    <row r="55" spans="1:10">
      <c r="A55" s="47" t="s">
        <v>185</v>
      </c>
      <c r="B55" s="35">
        <v>810644</v>
      </c>
      <c r="C55" s="35" t="s">
        <v>186</v>
      </c>
      <c r="D55" s="35" t="s">
        <v>187</v>
      </c>
      <c r="E55" s="36" t="s">
        <v>188</v>
      </c>
      <c r="F55" s="35">
        <v>211121633</v>
      </c>
      <c r="G55" s="37">
        <v>46237</v>
      </c>
      <c r="H55" s="33">
        <v>500</v>
      </c>
      <c r="I55" s="33" t="s">
        <v>123</v>
      </c>
      <c r="J55" s="33" t="s">
        <v>122</v>
      </c>
    </row>
    <row r="56" spans="1:10">
      <c r="A56" s="47" t="s">
        <v>362</v>
      </c>
      <c r="B56" s="35">
        <v>810645</v>
      </c>
      <c r="C56" s="35" t="s">
        <v>186</v>
      </c>
      <c r="D56" s="35" t="s">
        <v>187</v>
      </c>
      <c r="E56" s="36" t="s">
        <v>188</v>
      </c>
      <c r="F56" s="35">
        <v>211121633</v>
      </c>
      <c r="G56" s="37">
        <v>46237</v>
      </c>
      <c r="H56" s="33">
        <v>500</v>
      </c>
      <c r="I56" s="33" t="s">
        <v>123</v>
      </c>
      <c r="J56" s="33" t="s">
        <v>122</v>
      </c>
    </row>
    <row r="57" spans="1:10">
      <c r="A57" s="47" t="s">
        <v>347</v>
      </c>
      <c r="B57" s="35">
        <v>810646</v>
      </c>
      <c r="C57" s="35" t="s">
        <v>186</v>
      </c>
      <c r="D57" s="35" t="s">
        <v>187</v>
      </c>
      <c r="E57" s="36" t="s">
        <v>188</v>
      </c>
      <c r="F57" s="35">
        <v>211121633</v>
      </c>
      <c r="G57" s="37">
        <v>46237</v>
      </c>
      <c r="H57" s="33">
        <v>500</v>
      </c>
      <c r="I57" s="33" t="s">
        <v>123</v>
      </c>
      <c r="J57" s="33" t="s">
        <v>122</v>
      </c>
    </row>
    <row r="58" spans="1:10">
      <c r="A58" s="47" t="s">
        <v>271</v>
      </c>
      <c r="B58" s="35">
        <v>810647</v>
      </c>
      <c r="C58" s="35" t="s">
        <v>186</v>
      </c>
      <c r="D58" s="35" t="s">
        <v>187</v>
      </c>
      <c r="E58" s="36" t="s">
        <v>188</v>
      </c>
      <c r="F58" s="35">
        <v>211121633</v>
      </c>
      <c r="G58" s="37">
        <v>46237</v>
      </c>
      <c r="H58" s="33">
        <v>500</v>
      </c>
      <c r="I58" s="33" t="s">
        <v>123</v>
      </c>
      <c r="J58" s="33" t="s">
        <v>122</v>
      </c>
    </row>
    <row r="59" spans="1:10">
      <c r="A59" s="47" t="s">
        <v>331</v>
      </c>
      <c r="B59" s="35">
        <v>812801</v>
      </c>
      <c r="C59" s="35" t="s">
        <v>186</v>
      </c>
      <c r="D59" s="35" t="s">
        <v>187</v>
      </c>
      <c r="E59" s="36" t="s">
        <v>188</v>
      </c>
      <c r="F59" s="35">
        <v>211121633</v>
      </c>
      <c r="G59" s="37">
        <v>46237</v>
      </c>
      <c r="H59" s="33">
        <v>500</v>
      </c>
      <c r="I59" s="33" t="s">
        <v>123</v>
      </c>
      <c r="J59" s="33" t="s">
        <v>122</v>
      </c>
    </row>
    <row r="60" spans="1:10">
      <c r="A60" s="47" t="s">
        <v>358</v>
      </c>
      <c r="B60" s="35">
        <v>812802</v>
      </c>
      <c r="C60" s="35" t="s">
        <v>186</v>
      </c>
      <c r="D60" s="35" t="s">
        <v>187</v>
      </c>
      <c r="E60" s="36" t="s">
        <v>188</v>
      </c>
      <c r="F60" s="35">
        <v>211121633</v>
      </c>
      <c r="G60" s="37">
        <v>46237</v>
      </c>
      <c r="H60" s="33">
        <v>500</v>
      </c>
      <c r="I60" s="33" t="s">
        <v>123</v>
      </c>
      <c r="J60" s="33" t="s">
        <v>122</v>
      </c>
    </row>
    <row r="61" spans="1:10">
      <c r="A61" s="47" t="s">
        <v>357</v>
      </c>
      <c r="B61" s="35">
        <v>812824</v>
      </c>
      <c r="C61" s="35" t="s">
        <v>186</v>
      </c>
      <c r="D61" s="35" t="s">
        <v>187</v>
      </c>
      <c r="E61" s="36" t="s">
        <v>188</v>
      </c>
      <c r="F61" s="35">
        <v>211121633</v>
      </c>
      <c r="G61" s="37">
        <v>46237</v>
      </c>
      <c r="H61" s="33">
        <v>500</v>
      </c>
      <c r="I61" s="33" t="s">
        <v>123</v>
      </c>
      <c r="J61" s="33" t="s">
        <v>122</v>
      </c>
    </row>
    <row r="62" spans="1:10">
      <c r="A62" s="47" t="s">
        <v>342</v>
      </c>
      <c r="B62" s="35">
        <v>812829</v>
      </c>
      <c r="C62" s="35" t="s">
        <v>186</v>
      </c>
      <c r="D62" s="35" t="s">
        <v>187</v>
      </c>
      <c r="E62" s="36" t="s">
        <v>188</v>
      </c>
      <c r="F62" s="35">
        <v>211121633</v>
      </c>
      <c r="G62" s="37">
        <v>46237</v>
      </c>
      <c r="H62" s="33">
        <v>500</v>
      </c>
      <c r="I62" s="33" t="s">
        <v>123</v>
      </c>
      <c r="J62" s="33" t="s">
        <v>122</v>
      </c>
    </row>
    <row r="63" spans="1:10">
      <c r="A63" s="47" t="s">
        <v>333</v>
      </c>
      <c r="B63" s="35">
        <v>812923</v>
      </c>
      <c r="C63" s="35" t="s">
        <v>186</v>
      </c>
      <c r="D63" s="35" t="s">
        <v>187</v>
      </c>
      <c r="E63" s="36" t="s">
        <v>188</v>
      </c>
      <c r="F63" s="35">
        <v>211121633</v>
      </c>
      <c r="G63" s="37">
        <v>46237</v>
      </c>
      <c r="H63" s="33">
        <v>1000</v>
      </c>
      <c r="I63" s="33" t="s">
        <v>123</v>
      </c>
      <c r="J63" s="33" t="s">
        <v>122</v>
      </c>
    </row>
    <row r="64" spans="1:10">
      <c r="A64" s="47" t="s">
        <v>372</v>
      </c>
      <c r="B64" s="35">
        <v>814430</v>
      </c>
      <c r="C64" s="35" t="s">
        <v>186</v>
      </c>
      <c r="D64" s="35" t="s">
        <v>187</v>
      </c>
      <c r="E64" s="36" t="s">
        <v>188</v>
      </c>
      <c r="F64" s="35">
        <v>211121633</v>
      </c>
      <c r="G64" s="37">
        <v>46237</v>
      </c>
      <c r="H64" s="33">
        <v>500</v>
      </c>
      <c r="I64" s="33" t="s">
        <v>123</v>
      </c>
      <c r="J64" s="33" t="s">
        <v>122</v>
      </c>
    </row>
    <row r="65" spans="1:10">
      <c r="A65" s="47" t="s">
        <v>371</v>
      </c>
      <c r="B65" s="35">
        <v>814450</v>
      </c>
      <c r="C65" s="35" t="s">
        <v>186</v>
      </c>
      <c r="D65" s="35" t="s">
        <v>187</v>
      </c>
      <c r="E65" s="36" t="s">
        <v>188</v>
      </c>
      <c r="F65" s="35">
        <v>211121633</v>
      </c>
      <c r="G65" s="37">
        <v>46237</v>
      </c>
      <c r="H65" s="33">
        <v>500</v>
      </c>
      <c r="I65" s="33" t="s">
        <v>123</v>
      </c>
      <c r="J65" s="33" t="s">
        <v>122</v>
      </c>
    </row>
    <row r="66" spans="1:10">
      <c r="A66" s="47" t="s">
        <v>374</v>
      </c>
      <c r="B66" s="35">
        <v>814451</v>
      </c>
      <c r="C66" s="35" t="s">
        <v>186</v>
      </c>
      <c r="D66" s="35" t="s">
        <v>187</v>
      </c>
      <c r="E66" s="36" t="s">
        <v>188</v>
      </c>
      <c r="F66" s="35">
        <v>211121633</v>
      </c>
      <c r="G66" s="37">
        <v>46237</v>
      </c>
      <c r="H66" s="33">
        <v>500</v>
      </c>
      <c r="I66" s="33" t="s">
        <v>123</v>
      </c>
      <c r="J66" s="33" t="s">
        <v>122</v>
      </c>
    </row>
    <row r="67" spans="1:10">
      <c r="A67" s="47" t="s">
        <v>363</v>
      </c>
      <c r="B67" s="35">
        <v>814477</v>
      </c>
      <c r="C67" s="35" t="s">
        <v>186</v>
      </c>
      <c r="D67" s="35" t="s">
        <v>187</v>
      </c>
      <c r="E67" s="36" t="s">
        <v>188</v>
      </c>
      <c r="F67" s="35">
        <v>211121633</v>
      </c>
      <c r="G67" s="37">
        <v>46237</v>
      </c>
      <c r="H67" s="33">
        <v>500</v>
      </c>
      <c r="I67" s="33" t="s">
        <v>123</v>
      </c>
      <c r="J67" s="33" t="s">
        <v>122</v>
      </c>
    </row>
    <row r="68" spans="1:10">
      <c r="A68" s="47" t="s">
        <v>249</v>
      </c>
      <c r="B68" s="35">
        <v>814484</v>
      </c>
      <c r="C68" s="35" t="s">
        <v>186</v>
      </c>
      <c r="D68" s="35" t="s">
        <v>187</v>
      </c>
      <c r="E68" s="36" t="s">
        <v>188</v>
      </c>
      <c r="F68" s="35">
        <v>211121633</v>
      </c>
      <c r="G68" s="37">
        <v>46237</v>
      </c>
      <c r="H68" s="33">
        <v>500</v>
      </c>
      <c r="I68" s="33" t="s">
        <v>123</v>
      </c>
      <c r="J68" s="33" t="s">
        <v>122</v>
      </c>
    </row>
    <row r="69" spans="1:10">
      <c r="A69" s="47" t="s">
        <v>375</v>
      </c>
      <c r="B69" s="35">
        <v>814487</v>
      </c>
      <c r="C69" s="35" t="s">
        <v>186</v>
      </c>
      <c r="D69" s="35" t="s">
        <v>187</v>
      </c>
      <c r="E69" s="36" t="s">
        <v>188</v>
      </c>
      <c r="F69" s="35">
        <v>211121633</v>
      </c>
      <c r="G69" s="37">
        <v>46237</v>
      </c>
      <c r="H69" s="33">
        <v>500</v>
      </c>
      <c r="I69" s="33" t="s">
        <v>123</v>
      </c>
      <c r="J69" s="33" t="s">
        <v>122</v>
      </c>
    </row>
    <row r="70" spans="1:10">
      <c r="A70" s="47" t="s">
        <v>348</v>
      </c>
      <c r="B70" s="35">
        <v>814488</v>
      </c>
      <c r="C70" s="35" t="s">
        <v>186</v>
      </c>
      <c r="D70" s="35" t="s">
        <v>187</v>
      </c>
      <c r="E70" s="36" t="s">
        <v>188</v>
      </c>
      <c r="F70" s="35">
        <v>211121633</v>
      </c>
      <c r="G70" s="37">
        <v>46237</v>
      </c>
      <c r="H70" s="33">
        <v>500</v>
      </c>
      <c r="I70" s="33" t="s">
        <v>123</v>
      </c>
      <c r="J70" s="33" t="s">
        <v>122</v>
      </c>
    </row>
    <row r="71" spans="1:10" ht="17.25" customHeight="1">
      <c r="A71" s="47" t="s">
        <v>365</v>
      </c>
      <c r="B71" s="30">
        <v>814493</v>
      </c>
      <c r="C71" s="35" t="s">
        <v>186</v>
      </c>
      <c r="D71" s="35" t="s">
        <v>187</v>
      </c>
      <c r="E71" s="36" t="s">
        <v>188</v>
      </c>
      <c r="F71" s="35">
        <v>211121633</v>
      </c>
      <c r="G71" s="37">
        <v>46237</v>
      </c>
      <c r="H71" s="33">
        <v>1000</v>
      </c>
      <c r="I71" s="33" t="s">
        <v>123</v>
      </c>
      <c r="J71" s="33" t="s">
        <v>122</v>
      </c>
    </row>
    <row r="72" spans="1:10">
      <c r="A72" s="47" t="s">
        <v>318</v>
      </c>
      <c r="B72" s="35">
        <v>812927</v>
      </c>
      <c r="C72" s="35" t="s">
        <v>319</v>
      </c>
      <c r="D72" s="35" t="s">
        <v>320</v>
      </c>
      <c r="E72" s="38" t="s">
        <v>321</v>
      </c>
      <c r="F72" s="35">
        <v>211121707</v>
      </c>
      <c r="G72" s="37">
        <v>46238</v>
      </c>
      <c r="H72" s="33">
        <v>1000</v>
      </c>
      <c r="I72" s="33" t="s">
        <v>123</v>
      </c>
      <c r="J72" s="33" t="s">
        <v>122</v>
      </c>
    </row>
    <row r="73" spans="1:10">
      <c r="A73" s="47" t="s">
        <v>226</v>
      </c>
      <c r="B73" s="35">
        <v>809607</v>
      </c>
      <c r="C73" s="35" t="s">
        <v>383</v>
      </c>
      <c r="D73" s="35" t="s">
        <v>180</v>
      </c>
      <c r="E73" s="36" t="s">
        <v>384</v>
      </c>
      <c r="F73" s="35">
        <v>211121827</v>
      </c>
      <c r="G73" s="37">
        <v>46241</v>
      </c>
      <c r="H73" s="33">
        <v>500</v>
      </c>
      <c r="I73" s="33" t="s">
        <v>123</v>
      </c>
      <c r="J73" s="33" t="s">
        <v>122</v>
      </c>
    </row>
    <row r="74" spans="1:10">
      <c r="A74" s="47" t="s">
        <v>311</v>
      </c>
      <c r="B74" s="35">
        <v>812797</v>
      </c>
      <c r="C74" s="35" t="s">
        <v>383</v>
      </c>
      <c r="D74" s="35" t="s">
        <v>180</v>
      </c>
      <c r="E74" s="36" t="s">
        <v>384</v>
      </c>
      <c r="F74" s="35">
        <v>211121827</v>
      </c>
      <c r="G74" s="37">
        <v>46241</v>
      </c>
      <c r="H74" s="33">
        <v>500</v>
      </c>
      <c r="I74" s="33" t="s">
        <v>123</v>
      </c>
      <c r="J74" s="33" t="s">
        <v>122</v>
      </c>
    </row>
    <row r="75" spans="1:10">
      <c r="A75" s="47" t="s">
        <v>317</v>
      </c>
      <c r="B75" s="35">
        <v>812815</v>
      </c>
      <c r="C75" s="35" t="s">
        <v>383</v>
      </c>
      <c r="D75" s="35" t="s">
        <v>180</v>
      </c>
      <c r="E75" s="36" t="s">
        <v>384</v>
      </c>
      <c r="F75" s="35">
        <v>211121827</v>
      </c>
      <c r="G75" s="37">
        <v>46241</v>
      </c>
      <c r="H75" s="33">
        <v>500</v>
      </c>
      <c r="I75" s="33" t="s">
        <v>123</v>
      </c>
      <c r="J75" s="33" t="s">
        <v>122</v>
      </c>
    </row>
    <row r="76" spans="1:10">
      <c r="A76" s="47" t="s">
        <v>212</v>
      </c>
      <c r="B76" s="35">
        <v>812819</v>
      </c>
      <c r="C76" s="35" t="s">
        <v>383</v>
      </c>
      <c r="D76" s="35" t="s">
        <v>180</v>
      </c>
      <c r="E76" s="36" t="s">
        <v>384</v>
      </c>
      <c r="F76" s="35">
        <v>211121827</v>
      </c>
      <c r="G76" s="37">
        <v>46241</v>
      </c>
      <c r="H76" s="33">
        <v>500</v>
      </c>
      <c r="I76" s="33" t="s">
        <v>123</v>
      </c>
      <c r="J76" s="33" t="s">
        <v>122</v>
      </c>
    </row>
    <row r="77" spans="1:10">
      <c r="A77" s="47" t="s">
        <v>312</v>
      </c>
      <c r="B77" s="35">
        <v>812839</v>
      </c>
      <c r="C77" s="35" t="s">
        <v>383</v>
      </c>
      <c r="D77" s="35" t="s">
        <v>180</v>
      </c>
      <c r="E77" s="36" t="s">
        <v>384</v>
      </c>
      <c r="F77" s="35">
        <v>211121827</v>
      </c>
      <c r="G77" s="37">
        <v>46241</v>
      </c>
      <c r="H77" s="33">
        <v>500</v>
      </c>
      <c r="I77" s="33" t="s">
        <v>123</v>
      </c>
      <c r="J77" s="33" t="s">
        <v>122</v>
      </c>
    </row>
    <row r="78" spans="1:10">
      <c r="A78" s="47" t="s">
        <v>241</v>
      </c>
      <c r="B78" s="35">
        <v>814486</v>
      </c>
      <c r="C78" s="35" t="s">
        <v>383</v>
      </c>
      <c r="D78" s="35" t="s">
        <v>180</v>
      </c>
      <c r="E78" s="36" t="s">
        <v>384</v>
      </c>
      <c r="F78" s="35">
        <v>211121827</v>
      </c>
      <c r="G78" s="37">
        <v>46241</v>
      </c>
      <c r="H78" s="33">
        <v>500</v>
      </c>
      <c r="I78" s="33" t="s">
        <v>123</v>
      </c>
      <c r="J78" s="33" t="s">
        <v>122</v>
      </c>
    </row>
    <row r="79" spans="1:10">
      <c r="A79" s="47" t="s">
        <v>328</v>
      </c>
      <c r="B79" s="35">
        <v>812825</v>
      </c>
      <c r="C79" s="35" t="s">
        <v>385</v>
      </c>
      <c r="D79" s="35" t="s">
        <v>391</v>
      </c>
      <c r="E79" s="35" t="s">
        <v>390</v>
      </c>
      <c r="F79" s="35">
        <v>211121838</v>
      </c>
      <c r="G79" s="37">
        <v>46241</v>
      </c>
      <c r="H79" s="33">
        <v>500</v>
      </c>
      <c r="I79" s="33" t="s">
        <v>123</v>
      </c>
      <c r="J79" s="33" t="s">
        <v>122</v>
      </c>
    </row>
    <row r="80" spans="1:10">
      <c r="A80" s="47" t="s">
        <v>165</v>
      </c>
      <c r="B80" s="35">
        <v>812929</v>
      </c>
      <c r="C80" s="35" t="s">
        <v>382</v>
      </c>
      <c r="D80" s="35" t="s">
        <v>386</v>
      </c>
      <c r="E80" s="38" t="s">
        <v>387</v>
      </c>
      <c r="F80" s="35">
        <v>211121871</v>
      </c>
      <c r="G80" s="37">
        <v>46244</v>
      </c>
      <c r="H80" s="33">
        <v>1000</v>
      </c>
      <c r="I80" s="33" t="s">
        <v>123</v>
      </c>
      <c r="J80" s="33" t="s">
        <v>122</v>
      </c>
    </row>
    <row r="81" spans="1:10">
      <c r="A81" s="47" t="s">
        <v>259</v>
      </c>
      <c r="B81" s="35">
        <v>809604</v>
      </c>
      <c r="C81" s="35" t="s">
        <v>382</v>
      </c>
      <c r="D81" s="35" t="s">
        <v>386</v>
      </c>
      <c r="E81" s="38" t="s">
        <v>387</v>
      </c>
      <c r="F81" s="35">
        <v>211121878</v>
      </c>
      <c r="G81" s="37">
        <v>46244</v>
      </c>
      <c r="H81" s="33">
        <v>1000</v>
      </c>
      <c r="I81" s="33" t="s">
        <v>123</v>
      </c>
      <c r="J81" s="33" t="s">
        <v>122</v>
      </c>
    </row>
    <row r="82" spans="1:10">
      <c r="A82" s="47" t="s">
        <v>292</v>
      </c>
      <c r="B82" s="35">
        <v>809659</v>
      </c>
      <c r="C82" s="33" t="s">
        <v>388</v>
      </c>
      <c r="D82" s="33" t="s">
        <v>306</v>
      </c>
      <c r="E82" s="33" t="s">
        <v>389</v>
      </c>
      <c r="F82" s="33">
        <v>211121969</v>
      </c>
      <c r="G82" s="37">
        <v>46246</v>
      </c>
      <c r="H82" s="33">
        <v>500</v>
      </c>
      <c r="I82" s="33" t="s">
        <v>123</v>
      </c>
      <c r="J82" s="33" t="s">
        <v>122</v>
      </c>
    </row>
    <row r="83" spans="1:10">
      <c r="A83" s="47" t="s">
        <v>285</v>
      </c>
      <c r="B83" s="35">
        <v>809660</v>
      </c>
      <c r="C83" s="33" t="s">
        <v>388</v>
      </c>
      <c r="D83" s="33" t="s">
        <v>306</v>
      </c>
      <c r="E83" s="33" t="s">
        <v>389</v>
      </c>
      <c r="F83" s="33">
        <v>211121969</v>
      </c>
      <c r="G83" s="37">
        <v>46246</v>
      </c>
      <c r="H83" s="33">
        <v>500</v>
      </c>
      <c r="I83" s="33" t="s">
        <v>123</v>
      </c>
      <c r="J83" s="33" t="s">
        <v>122</v>
      </c>
    </row>
    <row r="84" spans="1:10">
      <c r="A84" s="47" t="s">
        <v>303</v>
      </c>
      <c r="B84" s="35">
        <v>809866</v>
      </c>
      <c r="C84" s="33" t="s">
        <v>388</v>
      </c>
      <c r="D84" s="33" t="s">
        <v>306</v>
      </c>
      <c r="E84" s="33" t="s">
        <v>389</v>
      </c>
      <c r="F84" s="33">
        <v>211121969</v>
      </c>
      <c r="G84" s="37">
        <v>46246</v>
      </c>
      <c r="H84" s="33">
        <v>500</v>
      </c>
      <c r="I84" s="33" t="s">
        <v>123</v>
      </c>
      <c r="J84" s="33" t="s">
        <v>122</v>
      </c>
    </row>
    <row r="85" spans="1:10">
      <c r="A85" s="47" t="s">
        <v>262</v>
      </c>
      <c r="B85" s="35">
        <v>809867</v>
      </c>
      <c r="C85" s="33" t="s">
        <v>388</v>
      </c>
      <c r="D85" s="33" t="s">
        <v>306</v>
      </c>
      <c r="E85" s="33" t="s">
        <v>389</v>
      </c>
      <c r="F85" s="33">
        <v>211121969</v>
      </c>
      <c r="G85" s="37">
        <v>46246</v>
      </c>
      <c r="H85" s="33">
        <v>500</v>
      </c>
      <c r="I85" s="33" t="s">
        <v>123</v>
      </c>
      <c r="J85" s="33" t="s">
        <v>122</v>
      </c>
    </row>
    <row r="86" spans="1:10">
      <c r="A86" s="47" t="s">
        <v>265</v>
      </c>
      <c r="B86" s="35">
        <v>809868</v>
      </c>
      <c r="C86" s="33" t="s">
        <v>388</v>
      </c>
      <c r="D86" s="33" t="s">
        <v>306</v>
      </c>
      <c r="E86" s="33" t="s">
        <v>389</v>
      </c>
      <c r="F86" s="33">
        <v>211121969</v>
      </c>
      <c r="G86" s="37">
        <v>46246</v>
      </c>
      <c r="H86" s="33">
        <v>500</v>
      </c>
      <c r="I86" s="33" t="s">
        <v>123</v>
      </c>
      <c r="J86" s="33" t="s">
        <v>122</v>
      </c>
    </row>
    <row r="87" spans="1:10">
      <c r="A87" s="47" t="s">
        <v>248</v>
      </c>
      <c r="B87" s="35">
        <v>809871</v>
      </c>
      <c r="C87" s="33" t="s">
        <v>388</v>
      </c>
      <c r="D87" s="33" t="s">
        <v>306</v>
      </c>
      <c r="E87" s="33" t="s">
        <v>389</v>
      </c>
      <c r="F87" s="33">
        <v>211121969</v>
      </c>
      <c r="G87" s="37">
        <v>46246</v>
      </c>
      <c r="H87" s="33">
        <v>500</v>
      </c>
      <c r="I87" s="33" t="s">
        <v>123</v>
      </c>
      <c r="J87" s="33" t="s">
        <v>122</v>
      </c>
    </row>
    <row r="88" spans="1:10">
      <c r="A88" s="47" t="s">
        <v>293</v>
      </c>
      <c r="B88" s="35">
        <v>809874</v>
      </c>
      <c r="C88" s="33" t="s">
        <v>388</v>
      </c>
      <c r="D88" s="33" t="s">
        <v>306</v>
      </c>
      <c r="E88" s="33" t="s">
        <v>389</v>
      </c>
      <c r="F88" s="33">
        <v>211121969</v>
      </c>
      <c r="G88" s="37">
        <v>46246</v>
      </c>
      <c r="H88" s="33">
        <v>500</v>
      </c>
      <c r="I88" s="33" t="s">
        <v>123</v>
      </c>
      <c r="J88" s="33" t="s">
        <v>122</v>
      </c>
    </row>
    <row r="89" spans="1:10">
      <c r="A89" s="47" t="s">
        <v>314</v>
      </c>
      <c r="B89" s="35">
        <v>810095</v>
      </c>
      <c r="C89" s="33" t="s">
        <v>388</v>
      </c>
      <c r="D89" s="33" t="s">
        <v>306</v>
      </c>
      <c r="E89" s="33" t="s">
        <v>389</v>
      </c>
      <c r="F89" s="33">
        <v>211121969</v>
      </c>
      <c r="G89" s="37">
        <v>46246</v>
      </c>
      <c r="H89" s="33">
        <v>500</v>
      </c>
      <c r="I89" s="33" t="s">
        <v>123</v>
      </c>
      <c r="J89" s="33" t="s">
        <v>122</v>
      </c>
    </row>
    <row r="90" spans="1:10">
      <c r="A90" s="47" t="s">
        <v>225</v>
      </c>
      <c r="B90" s="35">
        <v>810096</v>
      </c>
      <c r="C90" s="33" t="s">
        <v>388</v>
      </c>
      <c r="D90" s="33" t="s">
        <v>306</v>
      </c>
      <c r="E90" s="33" t="s">
        <v>389</v>
      </c>
      <c r="F90" s="33">
        <v>211121969</v>
      </c>
      <c r="G90" s="37">
        <v>46246</v>
      </c>
      <c r="H90" s="33">
        <v>500</v>
      </c>
      <c r="I90" s="33" t="s">
        <v>123</v>
      </c>
      <c r="J90" s="33" t="s">
        <v>122</v>
      </c>
    </row>
    <row r="91" spans="1:10">
      <c r="A91" s="47" t="s">
        <v>216</v>
      </c>
      <c r="B91" s="35">
        <v>810098</v>
      </c>
      <c r="C91" s="33" t="s">
        <v>388</v>
      </c>
      <c r="D91" s="33" t="s">
        <v>306</v>
      </c>
      <c r="E91" s="33" t="s">
        <v>389</v>
      </c>
      <c r="F91" s="33">
        <v>211121969</v>
      </c>
      <c r="G91" s="37">
        <v>46246</v>
      </c>
      <c r="H91" s="33">
        <v>500</v>
      </c>
      <c r="I91" s="33" t="s">
        <v>123</v>
      </c>
      <c r="J91" s="33" t="s">
        <v>122</v>
      </c>
    </row>
    <row r="92" spans="1:10">
      <c r="A92" s="47" t="s">
        <v>301</v>
      </c>
      <c r="B92" s="35">
        <v>810650</v>
      </c>
      <c r="C92" s="33" t="s">
        <v>388</v>
      </c>
      <c r="D92" s="33" t="s">
        <v>306</v>
      </c>
      <c r="E92" s="33" t="s">
        <v>389</v>
      </c>
      <c r="F92" s="33">
        <v>211121969</v>
      </c>
      <c r="G92" s="37">
        <v>46246</v>
      </c>
      <c r="H92" s="33">
        <v>500</v>
      </c>
      <c r="I92" s="33" t="s">
        <v>123</v>
      </c>
      <c r="J92" s="33" t="s">
        <v>122</v>
      </c>
    </row>
    <row r="93" spans="1:10">
      <c r="A93" s="47" t="s">
        <v>266</v>
      </c>
      <c r="B93" s="35">
        <v>810831</v>
      </c>
      <c r="C93" s="33" t="s">
        <v>388</v>
      </c>
      <c r="D93" s="33" t="s">
        <v>306</v>
      </c>
      <c r="E93" s="33" t="s">
        <v>389</v>
      </c>
      <c r="F93" s="33">
        <v>211121969</v>
      </c>
      <c r="G93" s="37">
        <v>46246</v>
      </c>
      <c r="H93" s="33">
        <v>500</v>
      </c>
      <c r="I93" s="33" t="s">
        <v>123</v>
      </c>
      <c r="J93" s="33" t="s">
        <v>122</v>
      </c>
    </row>
    <row r="94" spans="1:10">
      <c r="A94" s="47" t="s">
        <v>297</v>
      </c>
      <c r="B94" s="35">
        <v>810833</v>
      </c>
      <c r="C94" s="33" t="s">
        <v>388</v>
      </c>
      <c r="D94" s="33" t="s">
        <v>306</v>
      </c>
      <c r="E94" s="33" t="s">
        <v>389</v>
      </c>
      <c r="F94" s="33">
        <v>211121969</v>
      </c>
      <c r="G94" s="37">
        <v>46246</v>
      </c>
      <c r="H94" s="33">
        <v>500</v>
      </c>
      <c r="I94" s="33" t="s">
        <v>123</v>
      </c>
      <c r="J94" s="33" t="s">
        <v>122</v>
      </c>
    </row>
    <row r="95" spans="1:10">
      <c r="A95" s="47" t="s">
        <v>316</v>
      </c>
      <c r="B95" s="35">
        <v>812810</v>
      </c>
      <c r="C95" s="33" t="s">
        <v>388</v>
      </c>
      <c r="D95" s="33" t="s">
        <v>306</v>
      </c>
      <c r="E95" s="33" t="s">
        <v>389</v>
      </c>
      <c r="F95" s="33">
        <v>211121969</v>
      </c>
      <c r="G95" s="37">
        <v>46246</v>
      </c>
      <c r="H95" s="33">
        <v>500</v>
      </c>
      <c r="I95" s="33" t="s">
        <v>123</v>
      </c>
      <c r="J95" s="33" t="s">
        <v>122</v>
      </c>
    </row>
    <row r="96" spans="1:10">
      <c r="A96" s="47" t="s">
        <v>334</v>
      </c>
      <c r="B96" s="35">
        <v>812820</v>
      </c>
      <c r="C96" s="33" t="s">
        <v>388</v>
      </c>
      <c r="D96" s="33" t="s">
        <v>306</v>
      </c>
      <c r="E96" s="33" t="s">
        <v>389</v>
      </c>
      <c r="F96" s="33">
        <v>211121969</v>
      </c>
      <c r="G96" s="37">
        <v>46246</v>
      </c>
      <c r="H96" s="33">
        <v>500</v>
      </c>
      <c r="I96" s="33" t="s">
        <v>123</v>
      </c>
      <c r="J96" s="33" t="s">
        <v>122</v>
      </c>
    </row>
    <row r="97" spans="1:10">
      <c r="A97" s="47" t="s">
        <v>291</v>
      </c>
      <c r="B97" s="35">
        <v>812831</v>
      </c>
      <c r="C97" s="33" t="s">
        <v>388</v>
      </c>
      <c r="D97" s="33" t="s">
        <v>306</v>
      </c>
      <c r="E97" s="33" t="s">
        <v>389</v>
      </c>
      <c r="F97" s="33">
        <v>211121969</v>
      </c>
      <c r="G97" s="37">
        <v>46246</v>
      </c>
      <c r="H97" s="33">
        <v>500</v>
      </c>
      <c r="I97" s="33" t="s">
        <v>123</v>
      </c>
      <c r="J97" s="33" t="s">
        <v>122</v>
      </c>
    </row>
    <row r="98" spans="1:10">
      <c r="A98" s="47" t="s">
        <v>208</v>
      </c>
      <c r="B98" s="35">
        <v>812845</v>
      </c>
      <c r="C98" s="33" t="s">
        <v>388</v>
      </c>
      <c r="D98" s="33" t="s">
        <v>306</v>
      </c>
      <c r="E98" s="33" t="s">
        <v>389</v>
      </c>
      <c r="F98" s="33">
        <v>211121969</v>
      </c>
      <c r="G98" s="37">
        <v>46246</v>
      </c>
      <c r="H98" s="33">
        <v>500</v>
      </c>
      <c r="I98" s="33" t="s">
        <v>123</v>
      </c>
      <c r="J98" s="33" t="s">
        <v>122</v>
      </c>
    </row>
    <row r="99" spans="1:10">
      <c r="A99" s="47" t="s">
        <v>197</v>
      </c>
      <c r="B99" s="35">
        <v>812846</v>
      </c>
      <c r="C99" s="33" t="s">
        <v>388</v>
      </c>
      <c r="D99" s="33" t="s">
        <v>306</v>
      </c>
      <c r="E99" s="33" t="s">
        <v>389</v>
      </c>
      <c r="F99" s="33">
        <v>211121969</v>
      </c>
      <c r="G99" s="37">
        <v>46246</v>
      </c>
      <c r="H99" s="33">
        <v>500</v>
      </c>
      <c r="I99" s="33" t="s">
        <v>123</v>
      </c>
      <c r="J99" s="33" t="s">
        <v>122</v>
      </c>
    </row>
    <row r="100" spans="1:10">
      <c r="A100" s="47" t="s">
        <v>121</v>
      </c>
      <c r="B100" s="30">
        <v>812926</v>
      </c>
      <c r="C100" s="33" t="s">
        <v>388</v>
      </c>
      <c r="D100" s="33" t="s">
        <v>306</v>
      </c>
      <c r="E100" s="36" t="s">
        <v>389</v>
      </c>
      <c r="F100" s="33">
        <v>211121969</v>
      </c>
      <c r="G100" s="37">
        <v>46246</v>
      </c>
      <c r="H100" s="33">
        <v>1000</v>
      </c>
      <c r="I100" s="33" t="s">
        <v>123</v>
      </c>
      <c r="J100" s="33" t="s">
        <v>122</v>
      </c>
    </row>
    <row r="101" spans="1:10">
      <c r="A101" s="47" t="s">
        <v>283</v>
      </c>
      <c r="B101" s="35">
        <v>814435</v>
      </c>
      <c r="C101" s="33" t="s">
        <v>388</v>
      </c>
      <c r="D101" s="33" t="s">
        <v>306</v>
      </c>
      <c r="E101" s="33" t="s">
        <v>389</v>
      </c>
      <c r="F101" s="33">
        <v>211121969</v>
      </c>
      <c r="G101" s="37">
        <v>46246</v>
      </c>
      <c r="H101" s="33">
        <v>500</v>
      </c>
      <c r="I101" s="33" t="s">
        <v>123</v>
      </c>
      <c r="J101" s="33" t="s">
        <v>122</v>
      </c>
    </row>
    <row r="102" spans="1:10">
      <c r="A102" s="47" t="s">
        <v>261</v>
      </c>
      <c r="B102" s="35">
        <v>814478</v>
      </c>
      <c r="C102" s="33" t="s">
        <v>388</v>
      </c>
      <c r="D102" s="33" t="s">
        <v>306</v>
      </c>
      <c r="E102" s="33" t="s">
        <v>389</v>
      </c>
      <c r="F102" s="33">
        <v>211121969</v>
      </c>
      <c r="G102" s="37">
        <v>46246</v>
      </c>
      <c r="H102" s="33">
        <v>500</v>
      </c>
      <c r="I102" s="33" t="s">
        <v>123</v>
      </c>
      <c r="J102" s="33" t="s">
        <v>122</v>
      </c>
    </row>
    <row r="103" spans="1:10">
      <c r="A103" s="47" t="s">
        <v>232</v>
      </c>
      <c r="B103" s="30">
        <v>814640</v>
      </c>
      <c r="C103" s="33" t="s">
        <v>388</v>
      </c>
      <c r="D103" s="33" t="s">
        <v>306</v>
      </c>
      <c r="E103" s="36" t="s">
        <v>389</v>
      </c>
      <c r="F103" s="33">
        <v>211121969</v>
      </c>
      <c r="G103" s="37">
        <v>46246</v>
      </c>
      <c r="H103" s="33">
        <v>1000</v>
      </c>
      <c r="I103" s="33" t="s">
        <v>123</v>
      </c>
      <c r="J103" s="33" t="s">
        <v>122</v>
      </c>
    </row>
    <row r="104" spans="1:10">
      <c r="A104" s="48" t="s">
        <v>59</v>
      </c>
      <c r="B104" s="33">
        <v>816223</v>
      </c>
      <c r="C104" s="33" t="s">
        <v>388</v>
      </c>
      <c r="D104" s="33" t="s">
        <v>306</v>
      </c>
      <c r="E104" s="36" t="s">
        <v>389</v>
      </c>
      <c r="F104" s="33">
        <v>211121969</v>
      </c>
      <c r="G104" s="37">
        <v>46246</v>
      </c>
      <c r="H104" s="33">
        <v>1000</v>
      </c>
      <c r="I104" s="33" t="s">
        <v>123</v>
      </c>
      <c r="J104" s="33" t="s">
        <v>122</v>
      </c>
    </row>
    <row r="105" spans="1:10">
      <c r="A105" s="48" t="s">
        <v>48</v>
      </c>
      <c r="B105" s="33">
        <v>816225</v>
      </c>
      <c r="C105" s="33" t="s">
        <v>388</v>
      </c>
      <c r="D105" s="33" t="s">
        <v>306</v>
      </c>
      <c r="E105" s="36" t="s">
        <v>389</v>
      </c>
      <c r="F105" s="33">
        <v>211121969</v>
      </c>
      <c r="G105" s="37">
        <v>46246</v>
      </c>
      <c r="H105" s="33">
        <v>1000</v>
      </c>
      <c r="I105" s="33" t="s">
        <v>123</v>
      </c>
      <c r="J105" s="33" t="s">
        <v>122</v>
      </c>
    </row>
    <row r="106" spans="1:10">
      <c r="A106" s="47" t="s">
        <v>323</v>
      </c>
      <c r="B106" s="35">
        <v>809616</v>
      </c>
      <c r="C106" s="35" t="s">
        <v>392</v>
      </c>
      <c r="D106" s="35" t="s">
        <v>393</v>
      </c>
      <c r="E106" s="35" t="s">
        <v>394</v>
      </c>
      <c r="F106" s="35">
        <v>211122081</v>
      </c>
      <c r="G106" s="37">
        <v>46248</v>
      </c>
      <c r="H106" s="33">
        <v>500</v>
      </c>
      <c r="I106" s="33" t="s">
        <v>123</v>
      </c>
      <c r="J106" s="33" t="s">
        <v>122</v>
      </c>
    </row>
    <row r="107" spans="1:10">
      <c r="A107" s="47" t="s">
        <v>258</v>
      </c>
      <c r="B107" s="35">
        <v>809870</v>
      </c>
      <c r="C107" s="35" t="s">
        <v>392</v>
      </c>
      <c r="D107" s="35" t="s">
        <v>393</v>
      </c>
      <c r="E107" s="35" t="s">
        <v>394</v>
      </c>
      <c r="F107" s="35">
        <v>211122081</v>
      </c>
      <c r="G107" s="37">
        <v>46248</v>
      </c>
      <c r="H107" s="33">
        <v>500</v>
      </c>
      <c r="I107" s="33" t="s">
        <v>123</v>
      </c>
      <c r="J107" s="33" t="s">
        <v>122</v>
      </c>
    </row>
    <row r="108" spans="1:10">
      <c r="A108" s="47" t="s">
        <v>286</v>
      </c>
      <c r="B108" s="35">
        <v>809872</v>
      </c>
      <c r="C108" s="35" t="s">
        <v>392</v>
      </c>
      <c r="D108" s="35" t="s">
        <v>393</v>
      </c>
      <c r="E108" s="35" t="s">
        <v>394</v>
      </c>
      <c r="F108" s="35">
        <v>211122081</v>
      </c>
      <c r="G108" s="37">
        <v>46248</v>
      </c>
      <c r="H108" s="33">
        <v>500</v>
      </c>
      <c r="I108" s="33" t="s">
        <v>123</v>
      </c>
      <c r="J108" s="33" t="s">
        <v>122</v>
      </c>
    </row>
    <row r="109" spans="1:10">
      <c r="A109" s="47" t="s">
        <v>270</v>
      </c>
      <c r="B109" s="35">
        <v>810106</v>
      </c>
      <c r="C109" s="35" t="s">
        <v>392</v>
      </c>
      <c r="D109" s="35" t="s">
        <v>393</v>
      </c>
      <c r="E109" s="35" t="s">
        <v>394</v>
      </c>
      <c r="F109" s="35">
        <v>211122081</v>
      </c>
      <c r="G109" s="37">
        <v>46248</v>
      </c>
      <c r="H109" s="33">
        <v>500</v>
      </c>
      <c r="I109" s="33" t="s">
        <v>123</v>
      </c>
      <c r="J109" s="33" t="s">
        <v>122</v>
      </c>
    </row>
    <row r="110" spans="1:10">
      <c r="A110" s="47" t="s">
        <v>260</v>
      </c>
      <c r="B110" s="35">
        <v>810651</v>
      </c>
      <c r="C110" s="35" t="s">
        <v>392</v>
      </c>
      <c r="D110" s="35" t="s">
        <v>393</v>
      </c>
      <c r="E110" s="35" t="s">
        <v>394</v>
      </c>
      <c r="F110" s="35">
        <v>211122081</v>
      </c>
      <c r="G110" s="37">
        <v>46248</v>
      </c>
      <c r="H110" s="33">
        <v>500</v>
      </c>
      <c r="I110" s="33" t="s">
        <v>123</v>
      </c>
      <c r="J110" s="33" t="s">
        <v>122</v>
      </c>
    </row>
    <row r="111" spans="1:10">
      <c r="A111" s="47" t="s">
        <v>309</v>
      </c>
      <c r="B111" s="33">
        <v>812814</v>
      </c>
      <c r="C111" s="35" t="s">
        <v>392</v>
      </c>
      <c r="D111" s="35" t="s">
        <v>393</v>
      </c>
      <c r="E111" s="35" t="s">
        <v>394</v>
      </c>
      <c r="F111" s="35">
        <v>211122081</v>
      </c>
      <c r="G111" s="37">
        <v>46248</v>
      </c>
      <c r="H111" s="33">
        <v>500</v>
      </c>
      <c r="I111" s="33" t="s">
        <v>123</v>
      </c>
      <c r="J111" s="33" t="s">
        <v>122</v>
      </c>
    </row>
    <row r="112" spans="1:10">
      <c r="A112" s="47" t="s">
        <v>341</v>
      </c>
      <c r="B112" s="35">
        <v>812844</v>
      </c>
      <c r="C112" s="35" t="s">
        <v>392</v>
      </c>
      <c r="D112" s="35" t="s">
        <v>393</v>
      </c>
      <c r="E112" s="35" t="s">
        <v>394</v>
      </c>
      <c r="F112" s="35">
        <v>211122081</v>
      </c>
      <c r="G112" s="37">
        <v>46248</v>
      </c>
      <c r="H112" s="33">
        <v>500</v>
      </c>
      <c r="I112" s="33" t="s">
        <v>123</v>
      </c>
      <c r="J112" s="33" t="s">
        <v>122</v>
      </c>
    </row>
    <row r="113" spans="1:10">
      <c r="A113" s="47" t="s">
        <v>250</v>
      </c>
      <c r="B113" s="35">
        <v>814437</v>
      </c>
      <c r="C113" s="35" t="s">
        <v>392</v>
      </c>
      <c r="D113" s="35" t="s">
        <v>393</v>
      </c>
      <c r="E113" s="35" t="s">
        <v>394</v>
      </c>
      <c r="F113" s="35">
        <v>211122081</v>
      </c>
      <c r="G113" s="37">
        <v>46248</v>
      </c>
      <c r="H113" s="33">
        <v>500</v>
      </c>
      <c r="I113" s="33" t="s">
        <v>123</v>
      </c>
      <c r="J113" s="33" t="s">
        <v>122</v>
      </c>
    </row>
    <row r="114" spans="1:10">
      <c r="A114" s="47" t="s">
        <v>207</v>
      </c>
      <c r="B114" s="35">
        <v>814467</v>
      </c>
      <c r="C114" s="35" t="s">
        <v>392</v>
      </c>
      <c r="D114" s="35" t="s">
        <v>393</v>
      </c>
      <c r="E114" s="35" t="s">
        <v>394</v>
      </c>
      <c r="F114" s="35">
        <v>211122081</v>
      </c>
      <c r="G114" s="37">
        <v>46248</v>
      </c>
      <c r="H114" s="33">
        <v>500</v>
      </c>
      <c r="I114" s="33" t="s">
        <v>123</v>
      </c>
      <c r="J114" s="33" t="s">
        <v>122</v>
      </c>
    </row>
    <row r="115" spans="1:10">
      <c r="A115" s="47" t="s">
        <v>264</v>
      </c>
      <c r="B115" s="35">
        <v>814469</v>
      </c>
      <c r="C115" s="35" t="s">
        <v>392</v>
      </c>
      <c r="D115" s="35" t="s">
        <v>393</v>
      </c>
      <c r="E115" s="35" t="s">
        <v>394</v>
      </c>
      <c r="F115" s="35">
        <v>211122081</v>
      </c>
      <c r="G115" s="37">
        <v>46248</v>
      </c>
      <c r="H115" s="33">
        <v>500</v>
      </c>
      <c r="I115" s="33" t="s">
        <v>123</v>
      </c>
      <c r="J115" s="33" t="s">
        <v>122</v>
      </c>
    </row>
    <row r="116" spans="1:10">
      <c r="A116" s="47" t="s">
        <v>181</v>
      </c>
      <c r="B116" s="35">
        <v>814471</v>
      </c>
      <c r="C116" s="35" t="s">
        <v>392</v>
      </c>
      <c r="D116" s="35" t="s">
        <v>393</v>
      </c>
      <c r="E116" s="35" t="s">
        <v>394</v>
      </c>
      <c r="F116" s="35">
        <v>211122081</v>
      </c>
      <c r="G116" s="37">
        <v>46248</v>
      </c>
      <c r="H116" s="33">
        <v>500</v>
      </c>
      <c r="I116" s="33" t="s">
        <v>123</v>
      </c>
      <c r="J116" s="33" t="s">
        <v>122</v>
      </c>
    </row>
    <row r="117" spans="1:10">
      <c r="A117" s="49" t="s">
        <v>99</v>
      </c>
      <c r="B117" s="3">
        <v>816070</v>
      </c>
      <c r="C117" s="35" t="s">
        <v>392</v>
      </c>
      <c r="D117" s="35" t="s">
        <v>393</v>
      </c>
      <c r="E117" s="35" t="s">
        <v>394</v>
      </c>
      <c r="F117" s="35">
        <v>211122081</v>
      </c>
      <c r="G117" s="37">
        <v>46248</v>
      </c>
      <c r="H117" s="33">
        <v>500</v>
      </c>
      <c r="I117" s="33" t="s">
        <v>123</v>
      </c>
      <c r="J117" s="33" t="s">
        <v>122</v>
      </c>
    </row>
    <row r="118" spans="1:10">
      <c r="A118" s="48" t="s">
        <v>55</v>
      </c>
      <c r="B118" s="33">
        <v>816187</v>
      </c>
      <c r="C118" s="35" t="s">
        <v>392</v>
      </c>
      <c r="D118" s="35" t="s">
        <v>393</v>
      </c>
      <c r="E118" s="35" t="s">
        <v>394</v>
      </c>
      <c r="F118" s="35">
        <v>211122081</v>
      </c>
      <c r="G118" s="37">
        <v>46248</v>
      </c>
      <c r="H118" s="33">
        <v>500</v>
      </c>
      <c r="I118" s="33" t="s">
        <v>123</v>
      </c>
      <c r="J118" s="33" t="s">
        <v>122</v>
      </c>
    </row>
    <row r="119" spans="1:10">
      <c r="A119" s="49" t="s">
        <v>76</v>
      </c>
      <c r="B119" s="33">
        <v>816192</v>
      </c>
      <c r="C119" s="35" t="s">
        <v>392</v>
      </c>
      <c r="D119" s="35" t="s">
        <v>393</v>
      </c>
      <c r="E119" s="35" t="s">
        <v>394</v>
      </c>
      <c r="F119" s="35">
        <v>211122081</v>
      </c>
      <c r="G119" s="37">
        <v>46248</v>
      </c>
      <c r="H119" s="33">
        <v>500</v>
      </c>
      <c r="I119" s="33" t="s">
        <v>123</v>
      </c>
      <c r="J119" s="33" t="s">
        <v>122</v>
      </c>
    </row>
    <row r="120" spans="1:10">
      <c r="A120" s="48" t="s">
        <v>61</v>
      </c>
      <c r="B120" s="33">
        <v>816228</v>
      </c>
      <c r="C120" s="33" t="s">
        <v>392</v>
      </c>
      <c r="D120" s="33" t="s">
        <v>393</v>
      </c>
      <c r="E120" s="33" t="s">
        <v>394</v>
      </c>
      <c r="F120" s="33">
        <v>211122081</v>
      </c>
      <c r="G120" s="37">
        <v>46248</v>
      </c>
      <c r="H120" s="33">
        <v>1000</v>
      </c>
      <c r="I120" s="33" t="s">
        <v>123</v>
      </c>
      <c r="J120" s="33" t="s">
        <v>122</v>
      </c>
    </row>
    <row r="121" spans="1:10">
      <c r="A121" s="49" t="s">
        <v>399</v>
      </c>
      <c r="B121" s="35">
        <v>816269</v>
      </c>
      <c r="C121" s="35" t="s">
        <v>392</v>
      </c>
      <c r="D121" s="35" t="s">
        <v>393</v>
      </c>
      <c r="E121" s="35" t="s">
        <v>394</v>
      </c>
      <c r="F121" s="35">
        <v>211122081</v>
      </c>
      <c r="G121" s="37">
        <v>46248</v>
      </c>
      <c r="H121" s="33">
        <v>500</v>
      </c>
      <c r="I121" s="33" t="s">
        <v>123</v>
      </c>
      <c r="J121" s="33" t="s">
        <v>122</v>
      </c>
    </row>
    <row r="122" spans="1:10">
      <c r="A122" s="49" t="s">
        <v>400</v>
      </c>
      <c r="B122" s="35">
        <v>816270</v>
      </c>
      <c r="C122" s="35" t="s">
        <v>392</v>
      </c>
      <c r="D122" s="35" t="s">
        <v>393</v>
      </c>
      <c r="E122" s="35" t="s">
        <v>394</v>
      </c>
      <c r="F122" s="35">
        <v>211122081</v>
      </c>
      <c r="G122" s="37">
        <v>46248</v>
      </c>
      <c r="H122" s="33">
        <v>500</v>
      </c>
      <c r="I122" s="33" t="s">
        <v>123</v>
      </c>
      <c r="J122" s="33" t="s">
        <v>122</v>
      </c>
    </row>
    <row r="123" spans="1:10">
      <c r="A123" s="49" t="s">
        <v>402</v>
      </c>
      <c r="B123" s="35">
        <v>816272</v>
      </c>
      <c r="C123" s="35" t="s">
        <v>392</v>
      </c>
      <c r="D123" s="35" t="s">
        <v>393</v>
      </c>
      <c r="E123" s="35" t="s">
        <v>394</v>
      </c>
      <c r="F123" s="35">
        <v>211122081</v>
      </c>
      <c r="G123" s="37">
        <v>46248</v>
      </c>
      <c r="H123" s="33">
        <v>500</v>
      </c>
      <c r="I123" s="33" t="s">
        <v>123</v>
      </c>
      <c r="J123" s="33" t="s">
        <v>122</v>
      </c>
    </row>
    <row r="124" spans="1:10">
      <c r="A124" s="49" t="s">
        <v>405</v>
      </c>
      <c r="B124" s="35">
        <v>816275</v>
      </c>
      <c r="C124" s="35" t="s">
        <v>392</v>
      </c>
      <c r="D124" s="35" t="s">
        <v>393</v>
      </c>
      <c r="E124" s="35" t="s">
        <v>394</v>
      </c>
      <c r="F124" s="35">
        <v>211122081</v>
      </c>
      <c r="G124" s="37">
        <v>46248</v>
      </c>
      <c r="H124" s="33">
        <v>500</v>
      </c>
      <c r="I124" s="33" t="s">
        <v>123</v>
      </c>
      <c r="J124" s="33" t="s">
        <v>122</v>
      </c>
    </row>
    <row r="125" spans="1:10">
      <c r="A125" s="49" t="s">
        <v>407</v>
      </c>
      <c r="B125" s="35">
        <v>816277</v>
      </c>
      <c r="C125" s="35" t="s">
        <v>392</v>
      </c>
      <c r="D125" s="35" t="s">
        <v>393</v>
      </c>
      <c r="E125" s="35" t="s">
        <v>394</v>
      </c>
      <c r="F125" s="35">
        <v>211122081</v>
      </c>
      <c r="G125" s="37">
        <v>46248</v>
      </c>
      <c r="H125" s="33">
        <v>500</v>
      </c>
      <c r="I125" s="33" t="s">
        <v>123</v>
      </c>
      <c r="J125" s="33" t="s">
        <v>122</v>
      </c>
    </row>
    <row r="126" spans="1:10">
      <c r="A126" s="49" t="s">
        <v>412</v>
      </c>
      <c r="B126" s="35">
        <v>816282</v>
      </c>
      <c r="C126" s="35" t="s">
        <v>392</v>
      </c>
      <c r="D126" s="35" t="s">
        <v>393</v>
      </c>
      <c r="E126" s="45" t="s">
        <v>394</v>
      </c>
      <c r="F126" s="35">
        <v>211122081</v>
      </c>
      <c r="G126" s="37">
        <v>46248</v>
      </c>
      <c r="H126" s="33">
        <v>500</v>
      </c>
      <c r="I126" s="33" t="s">
        <v>123</v>
      </c>
      <c r="J126" s="33" t="s">
        <v>122</v>
      </c>
    </row>
    <row r="127" spans="1:10">
      <c r="A127" s="47" t="s">
        <v>206</v>
      </c>
      <c r="B127" s="35">
        <v>809608</v>
      </c>
      <c r="C127" s="35" t="s">
        <v>472</v>
      </c>
      <c r="D127" s="35" t="s">
        <v>393</v>
      </c>
      <c r="E127" s="35" t="s">
        <v>128</v>
      </c>
      <c r="F127" s="35">
        <v>211122084</v>
      </c>
      <c r="G127" s="37">
        <v>46248</v>
      </c>
      <c r="H127" s="33">
        <v>500</v>
      </c>
      <c r="I127" s="33" t="s">
        <v>123</v>
      </c>
      <c r="J127" s="33" t="s">
        <v>122</v>
      </c>
    </row>
    <row r="128" spans="1:10">
      <c r="A128" s="47" t="s">
        <v>201</v>
      </c>
      <c r="B128" s="35">
        <v>809622</v>
      </c>
      <c r="C128" s="35" t="s">
        <v>472</v>
      </c>
      <c r="D128" s="35" t="s">
        <v>393</v>
      </c>
      <c r="E128" s="35" t="s">
        <v>128</v>
      </c>
      <c r="F128" s="35">
        <v>211122084</v>
      </c>
      <c r="G128" s="37">
        <v>46248</v>
      </c>
      <c r="H128" s="33">
        <v>500</v>
      </c>
      <c r="I128" s="33" t="s">
        <v>123</v>
      </c>
      <c r="J128" s="33" t="s">
        <v>122</v>
      </c>
    </row>
    <row r="129" spans="1:10">
      <c r="A129" s="47" t="s">
        <v>289</v>
      </c>
      <c r="B129" s="35">
        <v>809657</v>
      </c>
      <c r="C129" s="35" t="s">
        <v>472</v>
      </c>
      <c r="D129" s="35" t="s">
        <v>393</v>
      </c>
      <c r="E129" s="35" t="s">
        <v>128</v>
      </c>
      <c r="F129" s="35">
        <v>211122084</v>
      </c>
      <c r="G129" s="37">
        <v>46248</v>
      </c>
      <c r="H129" s="33">
        <v>500</v>
      </c>
      <c r="I129" s="33" t="s">
        <v>123</v>
      </c>
      <c r="J129" s="33" t="s">
        <v>122</v>
      </c>
    </row>
    <row r="130" spans="1:10">
      <c r="A130" s="47" t="s">
        <v>194</v>
      </c>
      <c r="B130" s="35">
        <v>809658</v>
      </c>
      <c r="C130" s="35" t="s">
        <v>472</v>
      </c>
      <c r="D130" s="35" t="s">
        <v>393</v>
      </c>
      <c r="E130" s="35" t="s">
        <v>128</v>
      </c>
      <c r="F130" s="35">
        <v>211122084</v>
      </c>
      <c r="G130" s="37">
        <v>46248</v>
      </c>
      <c r="H130" s="33">
        <v>500</v>
      </c>
      <c r="I130" s="33" t="s">
        <v>123</v>
      </c>
      <c r="J130" s="33" t="s">
        <v>122</v>
      </c>
    </row>
    <row r="131" spans="1:10">
      <c r="A131" s="47" t="s">
        <v>227</v>
      </c>
      <c r="B131" s="35">
        <v>809661</v>
      </c>
      <c r="C131" s="35" t="s">
        <v>472</v>
      </c>
      <c r="D131" s="35" t="s">
        <v>393</v>
      </c>
      <c r="E131" s="35" t="s">
        <v>128</v>
      </c>
      <c r="F131" s="35">
        <v>211122084</v>
      </c>
      <c r="G131" s="37">
        <v>46248</v>
      </c>
      <c r="H131" s="33">
        <v>500</v>
      </c>
      <c r="I131" s="33" t="s">
        <v>123</v>
      </c>
      <c r="J131" s="33" t="s">
        <v>122</v>
      </c>
    </row>
    <row r="132" spans="1:10">
      <c r="A132" s="47" t="s">
        <v>290</v>
      </c>
      <c r="B132" s="35">
        <v>809860</v>
      </c>
      <c r="C132" s="35" t="s">
        <v>472</v>
      </c>
      <c r="D132" s="35" t="s">
        <v>393</v>
      </c>
      <c r="E132" s="35" t="s">
        <v>128</v>
      </c>
      <c r="F132" s="35">
        <v>211122084</v>
      </c>
      <c r="G132" s="37">
        <v>46248</v>
      </c>
      <c r="H132" s="33">
        <v>500</v>
      </c>
      <c r="I132" s="33" t="s">
        <v>123</v>
      </c>
      <c r="J132" s="33" t="s">
        <v>122</v>
      </c>
    </row>
    <row r="133" spans="1:10">
      <c r="A133" s="47" t="s">
        <v>220</v>
      </c>
      <c r="B133" s="35">
        <v>809864</v>
      </c>
      <c r="C133" s="35" t="s">
        <v>472</v>
      </c>
      <c r="D133" s="35" t="s">
        <v>393</v>
      </c>
      <c r="E133" s="35" t="s">
        <v>128</v>
      </c>
      <c r="F133" s="35">
        <v>211122084</v>
      </c>
      <c r="G133" s="37">
        <v>46248</v>
      </c>
      <c r="H133" s="33">
        <v>500</v>
      </c>
      <c r="I133" s="33" t="s">
        <v>123</v>
      </c>
      <c r="J133" s="33" t="s">
        <v>122</v>
      </c>
    </row>
    <row r="134" spans="1:10">
      <c r="A134" s="47" t="s">
        <v>233</v>
      </c>
      <c r="B134" s="35">
        <v>809865</v>
      </c>
      <c r="C134" s="35" t="s">
        <v>472</v>
      </c>
      <c r="D134" s="35" t="s">
        <v>393</v>
      </c>
      <c r="E134" s="35" t="s">
        <v>128</v>
      </c>
      <c r="F134" s="35">
        <v>211122084</v>
      </c>
      <c r="G134" s="37">
        <v>46248</v>
      </c>
      <c r="H134" s="33">
        <v>500</v>
      </c>
      <c r="I134" s="33" t="s">
        <v>123</v>
      </c>
      <c r="J134" s="33" t="s">
        <v>122</v>
      </c>
    </row>
    <row r="135" spans="1:10">
      <c r="A135" s="47" t="s">
        <v>296</v>
      </c>
      <c r="B135" s="35">
        <v>809869</v>
      </c>
      <c r="C135" s="35" t="s">
        <v>472</v>
      </c>
      <c r="D135" s="35" t="s">
        <v>393</v>
      </c>
      <c r="E135" s="35" t="s">
        <v>128</v>
      </c>
      <c r="F135" s="35">
        <v>211122084</v>
      </c>
      <c r="G135" s="37">
        <v>46248</v>
      </c>
      <c r="H135" s="33">
        <v>500</v>
      </c>
      <c r="I135" s="33" t="s">
        <v>123</v>
      </c>
      <c r="J135" s="33" t="s">
        <v>122</v>
      </c>
    </row>
    <row r="136" spans="1:10">
      <c r="A136" s="47" t="s">
        <v>302</v>
      </c>
      <c r="B136" s="35">
        <v>809875</v>
      </c>
      <c r="C136" s="35" t="s">
        <v>472</v>
      </c>
      <c r="D136" s="35" t="s">
        <v>393</v>
      </c>
      <c r="E136" s="35" t="s">
        <v>128</v>
      </c>
      <c r="F136" s="35">
        <v>211122084</v>
      </c>
      <c r="G136" s="37">
        <v>46248</v>
      </c>
      <c r="H136" s="33">
        <v>500</v>
      </c>
      <c r="I136" s="33" t="s">
        <v>123</v>
      </c>
      <c r="J136" s="33" t="s">
        <v>122</v>
      </c>
    </row>
    <row r="137" spans="1:10">
      <c r="A137" s="47" t="s">
        <v>278</v>
      </c>
      <c r="B137" s="35">
        <v>809877</v>
      </c>
      <c r="C137" s="35" t="s">
        <v>472</v>
      </c>
      <c r="D137" s="35" t="s">
        <v>393</v>
      </c>
      <c r="E137" s="35" t="s">
        <v>128</v>
      </c>
      <c r="F137" s="35">
        <v>211122084</v>
      </c>
      <c r="G137" s="37">
        <v>46248</v>
      </c>
      <c r="H137" s="33">
        <v>500</v>
      </c>
      <c r="I137" s="33" t="s">
        <v>123</v>
      </c>
      <c r="J137" s="33" t="s">
        <v>122</v>
      </c>
    </row>
    <row r="138" spans="1:10">
      <c r="A138" s="47" t="s">
        <v>268</v>
      </c>
      <c r="B138" s="35">
        <v>810097</v>
      </c>
      <c r="C138" s="35" t="s">
        <v>472</v>
      </c>
      <c r="D138" s="35" t="s">
        <v>393</v>
      </c>
      <c r="E138" s="35" t="s">
        <v>128</v>
      </c>
      <c r="F138" s="35">
        <v>211122084</v>
      </c>
      <c r="G138" s="37">
        <v>46248</v>
      </c>
      <c r="H138" s="33">
        <v>500</v>
      </c>
      <c r="I138" s="33" t="s">
        <v>123</v>
      </c>
      <c r="J138" s="33" t="s">
        <v>122</v>
      </c>
    </row>
    <row r="139" spans="1:10">
      <c r="A139" s="47" t="s">
        <v>304</v>
      </c>
      <c r="B139" s="35">
        <v>810101</v>
      </c>
      <c r="C139" s="35" t="s">
        <v>472</v>
      </c>
      <c r="D139" s="35" t="s">
        <v>393</v>
      </c>
      <c r="E139" s="35" t="s">
        <v>128</v>
      </c>
      <c r="F139" s="35">
        <v>211122084</v>
      </c>
      <c r="G139" s="37">
        <v>46248</v>
      </c>
      <c r="H139" s="33">
        <v>500</v>
      </c>
      <c r="I139" s="33" t="s">
        <v>123</v>
      </c>
      <c r="J139" s="33" t="s">
        <v>122</v>
      </c>
    </row>
    <row r="140" spans="1:10">
      <c r="A140" s="47" t="s">
        <v>164</v>
      </c>
      <c r="B140" s="35">
        <v>810103</v>
      </c>
      <c r="C140" s="35" t="s">
        <v>472</v>
      </c>
      <c r="D140" s="35" t="s">
        <v>393</v>
      </c>
      <c r="E140" s="35" t="s">
        <v>128</v>
      </c>
      <c r="F140" s="35">
        <v>211122084</v>
      </c>
      <c r="G140" s="37">
        <v>46248</v>
      </c>
      <c r="H140" s="33">
        <v>500</v>
      </c>
      <c r="I140" s="33" t="s">
        <v>123</v>
      </c>
      <c r="J140" s="33" t="s">
        <v>122</v>
      </c>
    </row>
    <row r="141" spans="1:10">
      <c r="A141" s="47" t="s">
        <v>210</v>
      </c>
      <c r="B141" s="35">
        <v>810104</v>
      </c>
      <c r="C141" s="35" t="s">
        <v>472</v>
      </c>
      <c r="D141" s="35" t="s">
        <v>393</v>
      </c>
      <c r="E141" s="35" t="s">
        <v>128</v>
      </c>
      <c r="F141" s="35">
        <v>211122084</v>
      </c>
      <c r="G141" s="37">
        <v>46248</v>
      </c>
      <c r="H141" s="33">
        <v>500</v>
      </c>
      <c r="I141" s="33" t="s">
        <v>123</v>
      </c>
      <c r="J141" s="33" t="s">
        <v>122</v>
      </c>
    </row>
    <row r="142" spans="1:10">
      <c r="A142" s="47" t="s">
        <v>300</v>
      </c>
      <c r="B142" s="35">
        <v>810832</v>
      </c>
      <c r="C142" s="35" t="s">
        <v>472</v>
      </c>
      <c r="D142" s="35" t="s">
        <v>393</v>
      </c>
      <c r="E142" s="35" t="s">
        <v>128</v>
      </c>
      <c r="F142" s="35">
        <v>211122084</v>
      </c>
      <c r="G142" s="37">
        <v>46248</v>
      </c>
      <c r="H142" s="33">
        <v>500</v>
      </c>
      <c r="I142" s="33" t="s">
        <v>123</v>
      </c>
      <c r="J142" s="33" t="s">
        <v>122</v>
      </c>
    </row>
    <row r="143" spans="1:10">
      <c r="A143" s="47" t="s">
        <v>267</v>
      </c>
      <c r="B143" s="35">
        <v>810834</v>
      </c>
      <c r="C143" s="35" t="s">
        <v>472</v>
      </c>
      <c r="D143" s="35" t="s">
        <v>393</v>
      </c>
      <c r="E143" s="35" t="s">
        <v>128</v>
      </c>
      <c r="F143" s="35">
        <v>211122084</v>
      </c>
      <c r="G143" s="37">
        <v>46248</v>
      </c>
      <c r="H143" s="33">
        <v>500</v>
      </c>
      <c r="I143" s="33" t="s">
        <v>123</v>
      </c>
      <c r="J143" s="33" t="s">
        <v>122</v>
      </c>
    </row>
    <row r="144" spans="1:10">
      <c r="A144" s="47" t="s">
        <v>325</v>
      </c>
      <c r="B144" s="35">
        <v>812794</v>
      </c>
      <c r="C144" s="35" t="s">
        <v>472</v>
      </c>
      <c r="D144" s="35" t="s">
        <v>393</v>
      </c>
      <c r="E144" s="35" t="s">
        <v>128</v>
      </c>
      <c r="F144" s="35">
        <v>211122084</v>
      </c>
      <c r="G144" s="37">
        <v>46248</v>
      </c>
      <c r="H144" s="33">
        <v>500</v>
      </c>
      <c r="I144" s="33" t="s">
        <v>123</v>
      </c>
      <c r="J144" s="33" t="s">
        <v>122</v>
      </c>
    </row>
    <row r="145" spans="1:10">
      <c r="A145" s="47" t="s">
        <v>191</v>
      </c>
      <c r="B145" s="35">
        <v>812800</v>
      </c>
      <c r="C145" s="45" t="s">
        <v>472</v>
      </c>
      <c r="D145" s="45" t="s">
        <v>393</v>
      </c>
      <c r="E145" s="45" t="s">
        <v>128</v>
      </c>
      <c r="F145" s="45">
        <v>211122084</v>
      </c>
      <c r="G145" s="37">
        <v>46248</v>
      </c>
      <c r="H145" s="33">
        <v>500</v>
      </c>
      <c r="I145" s="33" t="s">
        <v>123</v>
      </c>
      <c r="J145" s="33" t="s">
        <v>122</v>
      </c>
    </row>
    <row r="146" spans="1:10">
      <c r="A146" s="47" t="s">
        <v>295</v>
      </c>
      <c r="B146" s="35">
        <v>812804</v>
      </c>
      <c r="C146" s="35" t="s">
        <v>472</v>
      </c>
      <c r="D146" s="35" t="s">
        <v>393</v>
      </c>
      <c r="E146" s="35" t="s">
        <v>128</v>
      </c>
      <c r="F146" s="35">
        <v>211122084</v>
      </c>
      <c r="G146" s="37">
        <v>46248</v>
      </c>
      <c r="H146" s="33">
        <v>500</v>
      </c>
      <c r="I146" s="33" t="s">
        <v>123</v>
      </c>
      <c r="J146" s="33" t="s">
        <v>122</v>
      </c>
    </row>
    <row r="147" spans="1:10">
      <c r="A147" s="47" t="s">
        <v>247</v>
      </c>
      <c r="B147" s="35">
        <v>812809</v>
      </c>
      <c r="C147" s="35" t="s">
        <v>472</v>
      </c>
      <c r="D147" s="35" t="s">
        <v>393</v>
      </c>
      <c r="E147" s="35" t="s">
        <v>128</v>
      </c>
      <c r="F147" s="35">
        <v>211122084</v>
      </c>
      <c r="G147" s="37">
        <v>46248</v>
      </c>
      <c r="H147" s="33">
        <v>500</v>
      </c>
      <c r="I147" s="33" t="s">
        <v>123</v>
      </c>
      <c r="J147" s="33" t="s">
        <v>122</v>
      </c>
    </row>
    <row r="148" spans="1:10">
      <c r="A148" s="47" t="s">
        <v>310</v>
      </c>
      <c r="B148" s="35">
        <v>812816</v>
      </c>
      <c r="C148" s="35" t="s">
        <v>472</v>
      </c>
      <c r="D148" s="35" t="s">
        <v>393</v>
      </c>
      <c r="E148" s="35" t="s">
        <v>128</v>
      </c>
      <c r="F148" s="35">
        <v>211122084</v>
      </c>
      <c r="G148" s="37">
        <v>46248</v>
      </c>
      <c r="H148" s="33">
        <v>500</v>
      </c>
      <c r="I148" s="33" t="s">
        <v>123</v>
      </c>
      <c r="J148" s="33" t="s">
        <v>122</v>
      </c>
    </row>
    <row r="149" spans="1:10">
      <c r="A149" s="47" t="s">
        <v>252</v>
      </c>
      <c r="B149" s="35">
        <v>812821</v>
      </c>
      <c r="C149" s="35" t="s">
        <v>472</v>
      </c>
      <c r="D149" s="35" t="s">
        <v>393</v>
      </c>
      <c r="E149" s="35" t="s">
        <v>128</v>
      </c>
      <c r="F149" s="35">
        <v>211122084</v>
      </c>
      <c r="G149" s="37">
        <v>46248</v>
      </c>
      <c r="H149" s="33">
        <v>500</v>
      </c>
      <c r="I149" s="33" t="s">
        <v>123</v>
      </c>
      <c r="J149" s="33" t="s">
        <v>122</v>
      </c>
    </row>
    <row r="150" spans="1:10">
      <c r="A150" s="47" t="s">
        <v>178</v>
      </c>
      <c r="B150" s="35">
        <v>812826</v>
      </c>
      <c r="C150" s="45" t="s">
        <v>472</v>
      </c>
      <c r="D150" s="45" t="s">
        <v>393</v>
      </c>
      <c r="E150" s="45" t="s">
        <v>128</v>
      </c>
      <c r="F150" s="45">
        <v>211122084</v>
      </c>
      <c r="G150" s="37">
        <v>46248</v>
      </c>
      <c r="H150" s="33">
        <v>500</v>
      </c>
      <c r="I150" s="33" t="s">
        <v>123</v>
      </c>
      <c r="J150" s="33" t="s">
        <v>122</v>
      </c>
    </row>
    <row r="151" spans="1:10">
      <c r="A151" s="47" t="s">
        <v>198</v>
      </c>
      <c r="B151" s="35">
        <v>812834</v>
      </c>
      <c r="C151" s="35" t="s">
        <v>472</v>
      </c>
      <c r="D151" s="35" t="s">
        <v>393</v>
      </c>
      <c r="E151" s="35" t="s">
        <v>128</v>
      </c>
      <c r="F151" s="35">
        <v>211122084</v>
      </c>
      <c r="G151" s="37">
        <v>46248</v>
      </c>
      <c r="H151" s="33">
        <v>500</v>
      </c>
      <c r="I151" s="33" t="s">
        <v>123</v>
      </c>
      <c r="J151" s="33" t="s">
        <v>122</v>
      </c>
    </row>
    <row r="152" spans="1:10">
      <c r="A152" s="47" t="s">
        <v>340</v>
      </c>
      <c r="B152" s="35">
        <v>812835</v>
      </c>
      <c r="C152" s="45" t="s">
        <v>472</v>
      </c>
      <c r="D152" s="45" t="s">
        <v>393</v>
      </c>
      <c r="E152" s="45" t="s">
        <v>128</v>
      </c>
      <c r="F152" s="45">
        <v>211122084</v>
      </c>
      <c r="G152" s="37">
        <v>46248</v>
      </c>
      <c r="H152" s="33">
        <v>500</v>
      </c>
      <c r="I152" s="33" t="s">
        <v>123</v>
      </c>
      <c r="J152" s="33" t="s">
        <v>122</v>
      </c>
    </row>
    <row r="153" spans="1:10">
      <c r="A153" s="47" t="s">
        <v>211</v>
      </c>
      <c r="B153" s="35">
        <v>812849</v>
      </c>
      <c r="C153" s="35" t="s">
        <v>472</v>
      </c>
      <c r="D153" s="35" t="s">
        <v>393</v>
      </c>
      <c r="E153" s="35" t="s">
        <v>128</v>
      </c>
      <c r="F153" s="35">
        <v>211122084</v>
      </c>
      <c r="G153" s="37">
        <v>46248</v>
      </c>
      <c r="H153" s="33">
        <v>500</v>
      </c>
      <c r="I153" s="33" t="s">
        <v>123</v>
      </c>
      <c r="J153" s="33" t="s">
        <v>122</v>
      </c>
    </row>
    <row r="154" spans="1:10">
      <c r="A154" s="47" t="s">
        <v>280</v>
      </c>
      <c r="B154" s="35">
        <v>812850</v>
      </c>
      <c r="C154" s="35" t="s">
        <v>472</v>
      </c>
      <c r="D154" s="35" t="s">
        <v>393</v>
      </c>
      <c r="E154" s="35" t="s">
        <v>128</v>
      </c>
      <c r="F154" s="35">
        <v>211122084</v>
      </c>
      <c r="G154" s="37">
        <v>46248</v>
      </c>
      <c r="H154" s="33">
        <v>500</v>
      </c>
      <c r="I154" s="33" t="s">
        <v>123</v>
      </c>
      <c r="J154" s="33" t="s">
        <v>122</v>
      </c>
    </row>
    <row r="155" spans="1:10">
      <c r="A155" s="47" t="s">
        <v>308</v>
      </c>
      <c r="B155" s="35">
        <v>814431</v>
      </c>
      <c r="C155" s="35" t="s">
        <v>472</v>
      </c>
      <c r="D155" s="35" t="s">
        <v>393</v>
      </c>
      <c r="E155" s="35" t="s">
        <v>128</v>
      </c>
      <c r="F155" s="35">
        <v>211122084</v>
      </c>
      <c r="G155" s="37">
        <v>46248</v>
      </c>
      <c r="H155" s="33">
        <v>500</v>
      </c>
      <c r="I155" s="33" t="s">
        <v>123</v>
      </c>
      <c r="J155" s="33" t="s">
        <v>122</v>
      </c>
    </row>
    <row r="156" spans="1:10">
      <c r="A156" s="47" t="s">
        <v>136</v>
      </c>
      <c r="B156" s="35">
        <v>814432</v>
      </c>
      <c r="C156" s="35" t="s">
        <v>472</v>
      </c>
      <c r="D156" s="35" t="s">
        <v>393</v>
      </c>
      <c r="E156" s="35" t="s">
        <v>128</v>
      </c>
      <c r="F156" s="35">
        <v>211122084</v>
      </c>
      <c r="G156" s="37">
        <v>46248</v>
      </c>
      <c r="H156" s="33">
        <v>500</v>
      </c>
      <c r="I156" s="33" t="s">
        <v>123</v>
      </c>
      <c r="J156" s="33" t="s">
        <v>122</v>
      </c>
    </row>
    <row r="157" spans="1:10">
      <c r="A157" s="47" t="s">
        <v>145</v>
      </c>
      <c r="B157" s="35">
        <v>814434</v>
      </c>
      <c r="C157" s="45" t="s">
        <v>472</v>
      </c>
      <c r="D157" s="45" t="s">
        <v>393</v>
      </c>
      <c r="E157" s="45" t="s">
        <v>128</v>
      </c>
      <c r="F157" s="45">
        <v>211122084</v>
      </c>
      <c r="G157" s="37">
        <v>46248</v>
      </c>
      <c r="H157" s="33">
        <v>500</v>
      </c>
      <c r="I157" s="33" t="s">
        <v>123</v>
      </c>
      <c r="J157" s="33" t="s">
        <v>122</v>
      </c>
    </row>
    <row r="158" spans="1:10">
      <c r="A158" s="47" t="s">
        <v>282</v>
      </c>
      <c r="B158" s="35">
        <v>814436</v>
      </c>
      <c r="C158" s="35" t="s">
        <v>472</v>
      </c>
      <c r="D158" s="35" t="s">
        <v>393</v>
      </c>
      <c r="E158" s="35" t="s">
        <v>128</v>
      </c>
      <c r="F158" s="35">
        <v>211122084</v>
      </c>
      <c r="G158" s="37">
        <v>46248</v>
      </c>
      <c r="H158" s="33">
        <v>500</v>
      </c>
      <c r="I158" s="33" t="s">
        <v>123</v>
      </c>
      <c r="J158" s="33" t="s">
        <v>122</v>
      </c>
    </row>
    <row r="159" spans="1:10">
      <c r="A159" s="47" t="s">
        <v>184</v>
      </c>
      <c r="B159" s="35">
        <v>814439</v>
      </c>
      <c r="C159" s="35" t="s">
        <v>472</v>
      </c>
      <c r="D159" s="35" t="s">
        <v>393</v>
      </c>
      <c r="E159" s="35" t="s">
        <v>128</v>
      </c>
      <c r="F159" s="35">
        <v>211122084</v>
      </c>
      <c r="G159" s="37">
        <v>46248</v>
      </c>
      <c r="H159" s="33">
        <v>500</v>
      </c>
      <c r="I159" s="33" t="s">
        <v>123</v>
      </c>
      <c r="J159" s="33" t="s">
        <v>122</v>
      </c>
    </row>
    <row r="160" spans="1:10">
      <c r="A160" s="47" t="s">
        <v>195</v>
      </c>
      <c r="B160" s="35">
        <v>814440</v>
      </c>
      <c r="C160" s="35" t="s">
        <v>472</v>
      </c>
      <c r="D160" s="35" t="s">
        <v>393</v>
      </c>
      <c r="E160" s="35" t="s">
        <v>128</v>
      </c>
      <c r="F160" s="35">
        <v>211122084</v>
      </c>
      <c r="G160" s="37">
        <v>46248</v>
      </c>
      <c r="H160" s="33">
        <v>500</v>
      </c>
      <c r="I160" s="33" t="s">
        <v>123</v>
      </c>
      <c r="J160" s="33" t="s">
        <v>122</v>
      </c>
    </row>
    <row r="161" spans="1:10">
      <c r="A161" s="47" t="s">
        <v>167</v>
      </c>
      <c r="B161" s="35">
        <v>814441</v>
      </c>
      <c r="C161" s="45" t="s">
        <v>472</v>
      </c>
      <c r="D161" s="45" t="s">
        <v>393</v>
      </c>
      <c r="E161" s="45" t="s">
        <v>128</v>
      </c>
      <c r="F161" s="45">
        <v>211122084</v>
      </c>
      <c r="G161" s="37">
        <v>46248</v>
      </c>
      <c r="H161" s="33">
        <v>500</v>
      </c>
      <c r="I161" s="33" t="s">
        <v>123</v>
      </c>
      <c r="J161" s="33" t="s">
        <v>122</v>
      </c>
    </row>
    <row r="162" spans="1:10">
      <c r="A162" s="47" t="s">
        <v>253</v>
      </c>
      <c r="B162" s="35">
        <v>814442</v>
      </c>
      <c r="C162" s="35" t="s">
        <v>472</v>
      </c>
      <c r="D162" s="35" t="s">
        <v>393</v>
      </c>
      <c r="E162" s="35" t="s">
        <v>128</v>
      </c>
      <c r="F162" s="35">
        <v>211122084</v>
      </c>
      <c r="G162" s="37">
        <v>46248</v>
      </c>
      <c r="H162" s="33">
        <v>500</v>
      </c>
      <c r="I162" s="33" t="s">
        <v>123</v>
      </c>
      <c r="J162" s="33" t="s">
        <v>122</v>
      </c>
    </row>
    <row r="163" spans="1:10">
      <c r="A163" s="47" t="s">
        <v>214</v>
      </c>
      <c r="B163" s="35">
        <v>814443</v>
      </c>
      <c r="C163" s="45" t="s">
        <v>472</v>
      </c>
      <c r="D163" s="45" t="s">
        <v>393</v>
      </c>
      <c r="E163" s="45" t="s">
        <v>128</v>
      </c>
      <c r="F163" s="45">
        <v>211122084</v>
      </c>
      <c r="G163" s="37">
        <v>46248</v>
      </c>
      <c r="H163" s="33">
        <v>500</v>
      </c>
      <c r="I163" s="33" t="s">
        <v>123</v>
      </c>
      <c r="J163" s="33" t="s">
        <v>122</v>
      </c>
    </row>
    <row r="164" spans="1:10">
      <c r="A164" s="47" t="s">
        <v>160</v>
      </c>
      <c r="B164" s="35">
        <v>814446</v>
      </c>
      <c r="C164" s="45" t="s">
        <v>472</v>
      </c>
      <c r="D164" s="45" t="s">
        <v>393</v>
      </c>
      <c r="E164" s="45" t="s">
        <v>128</v>
      </c>
      <c r="F164" s="45">
        <v>211122084</v>
      </c>
      <c r="G164" s="37">
        <v>46248</v>
      </c>
      <c r="H164" s="33">
        <v>500</v>
      </c>
      <c r="I164" s="33" t="s">
        <v>123</v>
      </c>
      <c r="J164" s="33" t="s">
        <v>122</v>
      </c>
    </row>
    <row r="165" spans="1:10">
      <c r="A165" s="47" t="s">
        <v>215</v>
      </c>
      <c r="B165" s="35">
        <v>814449</v>
      </c>
      <c r="C165" s="35" t="s">
        <v>472</v>
      </c>
      <c r="D165" s="35" t="s">
        <v>393</v>
      </c>
      <c r="E165" s="35" t="s">
        <v>128</v>
      </c>
      <c r="F165" s="35">
        <v>211122084</v>
      </c>
      <c r="G165" s="37">
        <v>46248</v>
      </c>
      <c r="H165" s="33">
        <v>500</v>
      </c>
      <c r="I165" s="33" t="s">
        <v>123</v>
      </c>
      <c r="J165" s="33" t="s">
        <v>122</v>
      </c>
    </row>
    <row r="166" spans="1:10">
      <c r="A166" s="47" t="s">
        <v>149</v>
      </c>
      <c r="B166" s="35">
        <v>814452</v>
      </c>
      <c r="C166" s="35" t="s">
        <v>472</v>
      </c>
      <c r="D166" s="35" t="s">
        <v>393</v>
      </c>
      <c r="E166" s="35" t="s">
        <v>128</v>
      </c>
      <c r="F166" s="35">
        <v>211122084</v>
      </c>
      <c r="G166" s="37">
        <v>46248</v>
      </c>
      <c r="H166" s="33">
        <v>500</v>
      </c>
      <c r="I166" s="33" t="s">
        <v>123</v>
      </c>
      <c r="J166" s="33" t="s">
        <v>122</v>
      </c>
    </row>
    <row r="167" spans="1:10">
      <c r="A167" s="47" t="s">
        <v>192</v>
      </c>
      <c r="B167" s="35">
        <v>814453</v>
      </c>
      <c r="C167" s="35" t="s">
        <v>472</v>
      </c>
      <c r="D167" s="35" t="s">
        <v>393</v>
      </c>
      <c r="E167" s="35" t="s">
        <v>128</v>
      </c>
      <c r="F167" s="35">
        <v>211122084</v>
      </c>
      <c r="G167" s="37">
        <v>46248</v>
      </c>
      <c r="H167" s="33">
        <v>500</v>
      </c>
      <c r="I167" s="33" t="s">
        <v>123</v>
      </c>
      <c r="J167" s="33" t="s">
        <v>122</v>
      </c>
    </row>
    <row r="168" spans="1:10">
      <c r="A168" s="47" t="s">
        <v>196</v>
      </c>
      <c r="B168" s="35">
        <v>814454</v>
      </c>
      <c r="C168" s="35" t="s">
        <v>472</v>
      </c>
      <c r="D168" s="35" t="s">
        <v>393</v>
      </c>
      <c r="E168" s="35" t="s">
        <v>128</v>
      </c>
      <c r="F168" s="35">
        <v>211122084</v>
      </c>
      <c r="G168" s="37">
        <v>46248</v>
      </c>
      <c r="H168" s="33">
        <v>500</v>
      </c>
      <c r="I168" s="33" t="s">
        <v>123</v>
      </c>
      <c r="J168" s="33" t="s">
        <v>122</v>
      </c>
    </row>
    <row r="169" spans="1:10">
      <c r="A169" s="47" t="s">
        <v>240</v>
      </c>
      <c r="B169" s="35">
        <v>814457</v>
      </c>
      <c r="C169" s="45" t="s">
        <v>472</v>
      </c>
      <c r="D169" s="45" t="s">
        <v>393</v>
      </c>
      <c r="E169" s="45" t="s">
        <v>128</v>
      </c>
      <c r="F169" s="45">
        <v>211122084</v>
      </c>
      <c r="G169" s="37">
        <v>46248</v>
      </c>
      <c r="H169" s="33">
        <v>500</v>
      </c>
      <c r="I169" s="33" t="s">
        <v>123</v>
      </c>
      <c r="J169" s="33" t="s">
        <v>122</v>
      </c>
    </row>
    <row r="170" spans="1:10">
      <c r="A170" s="47" t="s">
        <v>124</v>
      </c>
      <c r="B170" s="35">
        <v>814459</v>
      </c>
      <c r="C170" s="35" t="s">
        <v>472</v>
      </c>
      <c r="D170" s="35" t="s">
        <v>393</v>
      </c>
      <c r="E170" s="35" t="s">
        <v>128</v>
      </c>
      <c r="F170" s="35">
        <v>211122084</v>
      </c>
      <c r="G170" s="37">
        <v>46248</v>
      </c>
      <c r="H170" s="33">
        <v>500</v>
      </c>
      <c r="I170" s="33" t="s">
        <v>123</v>
      </c>
      <c r="J170" s="33" t="s">
        <v>122</v>
      </c>
    </row>
    <row r="171" spans="1:10">
      <c r="A171" s="47" t="s">
        <v>163</v>
      </c>
      <c r="B171" s="35">
        <v>814460</v>
      </c>
      <c r="C171" s="45" t="s">
        <v>472</v>
      </c>
      <c r="D171" s="45" t="s">
        <v>393</v>
      </c>
      <c r="E171" s="45" t="s">
        <v>128</v>
      </c>
      <c r="F171" s="45">
        <v>211122084</v>
      </c>
      <c r="G171" s="44">
        <v>46248</v>
      </c>
      <c r="H171" s="33">
        <v>500</v>
      </c>
      <c r="I171" s="33" t="s">
        <v>123</v>
      </c>
      <c r="J171" s="33" t="s">
        <v>122</v>
      </c>
    </row>
    <row r="172" spans="1:10">
      <c r="A172" s="47" t="s">
        <v>182</v>
      </c>
      <c r="B172" s="35">
        <v>814461</v>
      </c>
      <c r="C172" s="35" t="s">
        <v>472</v>
      </c>
      <c r="D172" s="35" t="s">
        <v>393</v>
      </c>
      <c r="E172" s="35" t="s">
        <v>128</v>
      </c>
      <c r="F172" s="35">
        <v>211122084</v>
      </c>
      <c r="G172" s="37">
        <v>46248</v>
      </c>
      <c r="H172" s="33">
        <v>500</v>
      </c>
      <c r="I172" s="33" t="s">
        <v>123</v>
      </c>
      <c r="J172" s="33" t="s">
        <v>122</v>
      </c>
    </row>
    <row r="173" spans="1:10">
      <c r="A173" s="47" t="s">
        <v>144</v>
      </c>
      <c r="B173" s="35">
        <v>814462</v>
      </c>
      <c r="C173" s="45" t="s">
        <v>472</v>
      </c>
      <c r="D173" s="45" t="s">
        <v>393</v>
      </c>
      <c r="E173" s="45" t="s">
        <v>128</v>
      </c>
      <c r="F173" s="45">
        <v>211122084</v>
      </c>
      <c r="G173" s="37">
        <v>46248</v>
      </c>
      <c r="H173" s="33">
        <v>500</v>
      </c>
      <c r="I173" s="33" t="s">
        <v>123</v>
      </c>
      <c r="J173" s="33" t="s">
        <v>122</v>
      </c>
    </row>
    <row r="174" spans="1:10">
      <c r="A174" s="47" t="s">
        <v>326</v>
      </c>
      <c r="B174" s="35">
        <v>814463</v>
      </c>
      <c r="C174" s="45" t="s">
        <v>472</v>
      </c>
      <c r="D174" s="45" t="s">
        <v>393</v>
      </c>
      <c r="E174" s="45" t="s">
        <v>128</v>
      </c>
      <c r="F174" s="45">
        <v>211122084</v>
      </c>
      <c r="G174" s="37">
        <v>46248</v>
      </c>
      <c r="H174" s="33">
        <v>500</v>
      </c>
      <c r="I174" s="33" t="s">
        <v>123</v>
      </c>
      <c r="J174" s="33" t="s">
        <v>122</v>
      </c>
    </row>
    <row r="175" spans="1:10">
      <c r="A175" s="47" t="s">
        <v>299</v>
      </c>
      <c r="B175" s="35">
        <v>814464</v>
      </c>
      <c r="C175" s="35" t="s">
        <v>472</v>
      </c>
      <c r="D175" s="35" t="s">
        <v>393</v>
      </c>
      <c r="E175" s="35" t="s">
        <v>128</v>
      </c>
      <c r="F175" s="35">
        <v>211122084</v>
      </c>
      <c r="G175" s="37">
        <v>46248</v>
      </c>
      <c r="H175" s="33">
        <v>500</v>
      </c>
      <c r="I175" s="33" t="s">
        <v>123</v>
      </c>
      <c r="J175" s="33" t="s">
        <v>122</v>
      </c>
    </row>
    <row r="176" spans="1:10">
      <c r="A176" s="47" t="s">
        <v>218</v>
      </c>
      <c r="B176" s="35">
        <v>814465</v>
      </c>
      <c r="C176" s="35" t="s">
        <v>472</v>
      </c>
      <c r="D176" s="35" t="s">
        <v>393</v>
      </c>
      <c r="E176" s="35" t="s">
        <v>128</v>
      </c>
      <c r="F176" s="35">
        <v>211122084</v>
      </c>
      <c r="G176" s="37">
        <v>46248</v>
      </c>
      <c r="H176" s="33">
        <v>500</v>
      </c>
      <c r="I176" s="33" t="s">
        <v>123</v>
      </c>
      <c r="J176" s="33" t="s">
        <v>122</v>
      </c>
    </row>
    <row r="177" spans="1:10" ht="12.75" customHeight="1">
      <c r="A177" s="47" t="s">
        <v>158</v>
      </c>
      <c r="B177" s="35">
        <v>814470</v>
      </c>
      <c r="C177" s="35" t="s">
        <v>472</v>
      </c>
      <c r="D177" s="35" t="s">
        <v>393</v>
      </c>
      <c r="E177" s="35" t="s">
        <v>128</v>
      </c>
      <c r="F177" s="35">
        <v>211122084</v>
      </c>
      <c r="G177" s="37">
        <v>46248</v>
      </c>
      <c r="H177" s="33">
        <v>500</v>
      </c>
      <c r="I177" s="33" t="s">
        <v>123</v>
      </c>
      <c r="J177" s="33" t="s">
        <v>122</v>
      </c>
    </row>
    <row r="178" spans="1:10" ht="14.25" customHeight="1">
      <c r="A178" s="47" t="s">
        <v>276</v>
      </c>
      <c r="B178" s="35">
        <v>814472</v>
      </c>
      <c r="C178" s="35" t="s">
        <v>472</v>
      </c>
      <c r="D178" s="35" t="s">
        <v>393</v>
      </c>
      <c r="E178" s="35" t="s">
        <v>128</v>
      </c>
      <c r="F178" s="35">
        <v>211122084</v>
      </c>
      <c r="G178" s="37">
        <v>46248</v>
      </c>
      <c r="H178" s="33">
        <v>500</v>
      </c>
      <c r="I178" s="33" t="s">
        <v>123</v>
      </c>
      <c r="J178" s="33" t="s">
        <v>122</v>
      </c>
    </row>
    <row r="179" spans="1:10">
      <c r="A179" s="47" t="s">
        <v>146</v>
      </c>
      <c r="B179" s="35">
        <v>814473</v>
      </c>
      <c r="C179" s="45" t="s">
        <v>472</v>
      </c>
      <c r="D179" s="45" t="s">
        <v>393</v>
      </c>
      <c r="E179" s="45" t="s">
        <v>128</v>
      </c>
      <c r="F179" s="45">
        <v>211122084</v>
      </c>
      <c r="G179" s="37">
        <v>46248</v>
      </c>
      <c r="H179" s="33">
        <v>500</v>
      </c>
      <c r="I179" s="33" t="s">
        <v>123</v>
      </c>
      <c r="J179" s="33" t="s">
        <v>122</v>
      </c>
    </row>
    <row r="180" spans="1:10">
      <c r="A180" s="47" t="s">
        <v>162</v>
      </c>
      <c r="B180" s="35">
        <v>814474</v>
      </c>
      <c r="C180" s="35" t="s">
        <v>472</v>
      </c>
      <c r="D180" s="35" t="s">
        <v>393</v>
      </c>
      <c r="E180" s="35" t="s">
        <v>128</v>
      </c>
      <c r="F180" s="35">
        <v>211122084</v>
      </c>
      <c r="G180" s="44">
        <v>46248</v>
      </c>
      <c r="H180" s="33">
        <v>500</v>
      </c>
      <c r="I180" s="33" t="s">
        <v>123</v>
      </c>
      <c r="J180" s="33" t="s">
        <v>122</v>
      </c>
    </row>
    <row r="181" spans="1:10">
      <c r="A181" s="47" t="s">
        <v>159</v>
      </c>
      <c r="B181" s="35">
        <v>814475</v>
      </c>
      <c r="C181" s="45" t="s">
        <v>472</v>
      </c>
      <c r="D181" s="45" t="s">
        <v>393</v>
      </c>
      <c r="E181" s="45" t="s">
        <v>128</v>
      </c>
      <c r="F181" s="45">
        <v>211122084</v>
      </c>
      <c r="G181" s="37">
        <v>46248</v>
      </c>
      <c r="H181" s="33">
        <v>500</v>
      </c>
      <c r="I181" s="33" t="s">
        <v>123</v>
      </c>
      <c r="J181" s="33" t="s">
        <v>122</v>
      </c>
    </row>
    <row r="182" spans="1:10">
      <c r="A182" s="47" t="s">
        <v>190</v>
      </c>
      <c r="B182" s="35">
        <v>814476</v>
      </c>
      <c r="C182" s="35" t="s">
        <v>472</v>
      </c>
      <c r="D182" s="35" t="s">
        <v>393</v>
      </c>
      <c r="E182" s="35" t="s">
        <v>128</v>
      </c>
      <c r="F182" s="35">
        <v>211122084</v>
      </c>
      <c r="G182" s="37">
        <v>46248</v>
      </c>
      <c r="H182" s="33">
        <v>500</v>
      </c>
      <c r="I182" s="33" t="s">
        <v>123</v>
      </c>
      <c r="J182" s="33" t="s">
        <v>122</v>
      </c>
    </row>
    <row r="183" spans="1:10">
      <c r="A183" s="47" t="s">
        <v>150</v>
      </c>
      <c r="B183" s="35">
        <v>814479</v>
      </c>
      <c r="C183" s="35" t="s">
        <v>472</v>
      </c>
      <c r="D183" s="35" t="s">
        <v>393</v>
      </c>
      <c r="E183" s="35" t="s">
        <v>128</v>
      </c>
      <c r="F183" s="35">
        <v>211122084</v>
      </c>
      <c r="G183" s="37">
        <v>46248</v>
      </c>
      <c r="H183" s="33">
        <v>500</v>
      </c>
      <c r="I183" s="33" t="s">
        <v>123</v>
      </c>
      <c r="J183" s="33" t="s">
        <v>122</v>
      </c>
    </row>
    <row r="184" spans="1:10">
      <c r="A184" s="47" t="s">
        <v>189</v>
      </c>
      <c r="B184" s="35">
        <v>814480</v>
      </c>
      <c r="C184" s="35" t="s">
        <v>472</v>
      </c>
      <c r="D184" s="35" t="s">
        <v>393</v>
      </c>
      <c r="E184" s="35" t="s">
        <v>128</v>
      </c>
      <c r="F184" s="35">
        <v>211122084</v>
      </c>
      <c r="G184" s="37">
        <v>46248</v>
      </c>
      <c r="H184" s="33">
        <v>500</v>
      </c>
      <c r="I184" s="33" t="s">
        <v>123</v>
      </c>
      <c r="J184" s="33" t="s">
        <v>122</v>
      </c>
    </row>
    <row r="185" spans="1:10">
      <c r="A185" s="47" t="s">
        <v>183</v>
      </c>
      <c r="B185" s="35">
        <v>814482</v>
      </c>
      <c r="C185" s="45" t="s">
        <v>472</v>
      </c>
      <c r="D185" s="45" t="s">
        <v>393</v>
      </c>
      <c r="E185" s="45" t="s">
        <v>128</v>
      </c>
      <c r="F185" s="45">
        <v>211122084</v>
      </c>
      <c r="G185" s="37">
        <v>46248</v>
      </c>
      <c r="H185" s="33">
        <v>500</v>
      </c>
      <c r="I185" s="33" t="s">
        <v>123</v>
      </c>
      <c r="J185" s="33" t="s">
        <v>122</v>
      </c>
    </row>
    <row r="186" spans="1:10">
      <c r="A186" s="47" t="s">
        <v>344</v>
      </c>
      <c r="B186" s="35">
        <v>814485</v>
      </c>
      <c r="C186" s="45" t="s">
        <v>472</v>
      </c>
      <c r="D186" s="45" t="s">
        <v>393</v>
      </c>
      <c r="E186" s="45" t="s">
        <v>128</v>
      </c>
      <c r="F186" s="45">
        <v>211122084</v>
      </c>
      <c r="G186" s="37">
        <v>46248</v>
      </c>
      <c r="H186" s="33">
        <v>500</v>
      </c>
      <c r="I186" s="33" t="s">
        <v>123</v>
      </c>
      <c r="J186" s="33" t="s">
        <v>122</v>
      </c>
    </row>
    <row r="187" spans="1:10">
      <c r="A187" s="49" t="s">
        <v>65</v>
      </c>
      <c r="B187" s="33">
        <v>816074</v>
      </c>
      <c r="C187" s="35" t="s">
        <v>472</v>
      </c>
      <c r="D187" s="35" t="s">
        <v>393</v>
      </c>
      <c r="E187" s="35" t="s">
        <v>128</v>
      </c>
      <c r="F187" s="35">
        <v>211122084</v>
      </c>
      <c r="G187" s="37">
        <v>46248</v>
      </c>
      <c r="H187" s="33">
        <v>500</v>
      </c>
      <c r="I187" s="33" t="s">
        <v>123</v>
      </c>
      <c r="J187" s="33" t="s">
        <v>122</v>
      </c>
    </row>
    <row r="188" spans="1:10">
      <c r="A188" s="49" t="s">
        <v>116</v>
      </c>
      <c r="B188" s="33">
        <v>816075</v>
      </c>
      <c r="C188" s="35" t="s">
        <v>472</v>
      </c>
      <c r="D188" s="35" t="s">
        <v>393</v>
      </c>
      <c r="E188" s="35" t="s">
        <v>128</v>
      </c>
      <c r="F188" s="35">
        <v>211122084</v>
      </c>
      <c r="G188" s="37">
        <v>46248</v>
      </c>
      <c r="H188" s="33">
        <v>500</v>
      </c>
      <c r="I188" s="33" t="s">
        <v>123</v>
      </c>
      <c r="J188" s="33" t="s">
        <v>122</v>
      </c>
    </row>
    <row r="189" spans="1:10">
      <c r="A189" s="49" t="s">
        <v>395</v>
      </c>
      <c r="B189" s="35">
        <v>816077</v>
      </c>
      <c r="C189" s="45" t="s">
        <v>472</v>
      </c>
      <c r="D189" s="45" t="s">
        <v>393</v>
      </c>
      <c r="E189" s="45" t="s">
        <v>128</v>
      </c>
      <c r="F189" s="45">
        <v>211122084</v>
      </c>
      <c r="G189" s="37">
        <v>46248</v>
      </c>
      <c r="H189" s="33">
        <v>500</v>
      </c>
      <c r="I189" s="33" t="s">
        <v>123</v>
      </c>
      <c r="J189" s="33" t="s">
        <v>122</v>
      </c>
    </row>
    <row r="190" spans="1:10">
      <c r="A190" s="49" t="s">
        <v>101</v>
      </c>
      <c r="B190" s="33">
        <v>816080</v>
      </c>
      <c r="C190" s="45" t="s">
        <v>472</v>
      </c>
      <c r="D190" s="45" t="s">
        <v>393</v>
      </c>
      <c r="E190" s="45" t="s">
        <v>128</v>
      </c>
      <c r="F190" s="45">
        <v>211122084</v>
      </c>
      <c r="G190" s="37">
        <v>46248</v>
      </c>
      <c r="H190" s="33">
        <v>500</v>
      </c>
      <c r="I190" s="33" t="s">
        <v>123</v>
      </c>
      <c r="J190" s="33" t="s">
        <v>122</v>
      </c>
    </row>
    <row r="191" spans="1:10">
      <c r="A191" s="49" t="s">
        <v>110</v>
      </c>
      <c r="B191" s="33">
        <v>816082</v>
      </c>
      <c r="C191" s="45" t="s">
        <v>472</v>
      </c>
      <c r="D191" s="45" t="s">
        <v>393</v>
      </c>
      <c r="E191" s="45" t="s">
        <v>128</v>
      </c>
      <c r="F191" s="45">
        <v>211122084</v>
      </c>
      <c r="G191" s="37">
        <v>46248</v>
      </c>
      <c r="H191" s="33">
        <v>500</v>
      </c>
      <c r="I191" s="33" t="s">
        <v>123</v>
      </c>
      <c r="J191" s="33" t="s">
        <v>122</v>
      </c>
    </row>
    <row r="192" spans="1:10">
      <c r="A192" s="49" t="s">
        <v>102</v>
      </c>
      <c r="B192" s="33">
        <v>816085</v>
      </c>
      <c r="C192" s="45" t="s">
        <v>472</v>
      </c>
      <c r="D192" s="45" t="s">
        <v>393</v>
      </c>
      <c r="E192" s="45" t="s">
        <v>128</v>
      </c>
      <c r="F192" s="45">
        <v>211122084</v>
      </c>
      <c r="G192" s="37">
        <v>46248</v>
      </c>
      <c r="H192" s="33">
        <v>500</v>
      </c>
      <c r="I192" s="33" t="s">
        <v>123</v>
      </c>
      <c r="J192" s="33" t="s">
        <v>122</v>
      </c>
    </row>
    <row r="193" spans="1:10">
      <c r="A193" s="49" t="s">
        <v>404</v>
      </c>
      <c r="B193" s="35">
        <v>816274</v>
      </c>
      <c r="C193" s="45" t="s">
        <v>472</v>
      </c>
      <c r="D193" s="45" t="s">
        <v>393</v>
      </c>
      <c r="E193" s="45" t="s">
        <v>128</v>
      </c>
      <c r="F193" s="45">
        <v>211122084</v>
      </c>
      <c r="G193" s="37">
        <v>46248</v>
      </c>
      <c r="H193" s="33">
        <v>500</v>
      </c>
      <c r="I193" s="33" t="s">
        <v>123</v>
      </c>
      <c r="J193" s="33" t="s">
        <v>122</v>
      </c>
    </row>
    <row r="194" spans="1:10">
      <c r="A194" s="49" t="s">
        <v>410</v>
      </c>
      <c r="B194" s="35">
        <v>816280</v>
      </c>
      <c r="C194" s="35" t="s">
        <v>472</v>
      </c>
      <c r="D194" s="35" t="s">
        <v>393</v>
      </c>
      <c r="E194" s="35" t="s">
        <v>128</v>
      </c>
      <c r="F194" s="35">
        <v>211122084</v>
      </c>
      <c r="G194" s="37">
        <v>46248</v>
      </c>
      <c r="H194" s="33">
        <v>500</v>
      </c>
      <c r="I194" s="33" t="s">
        <v>123</v>
      </c>
      <c r="J194" s="33" t="s">
        <v>122</v>
      </c>
    </row>
    <row r="195" spans="1:10">
      <c r="A195" s="49" t="s">
        <v>414</v>
      </c>
      <c r="B195" s="35">
        <v>816284</v>
      </c>
      <c r="C195" s="35" t="s">
        <v>472</v>
      </c>
      <c r="D195" s="35" t="s">
        <v>393</v>
      </c>
      <c r="E195" s="35" t="s">
        <v>128</v>
      </c>
      <c r="F195" s="35">
        <v>211122084</v>
      </c>
      <c r="G195" s="37">
        <v>46248</v>
      </c>
      <c r="H195" s="33">
        <v>500</v>
      </c>
      <c r="I195" s="33" t="s">
        <v>123</v>
      </c>
      <c r="J195" s="33" t="s">
        <v>122</v>
      </c>
    </row>
    <row r="196" spans="1:10">
      <c r="A196" s="49" t="s">
        <v>415</v>
      </c>
      <c r="B196" s="35">
        <v>816285</v>
      </c>
      <c r="C196" s="35" t="s">
        <v>472</v>
      </c>
      <c r="D196" s="35" t="s">
        <v>393</v>
      </c>
      <c r="E196" s="35" t="s">
        <v>128</v>
      </c>
      <c r="F196" s="35">
        <v>211122084</v>
      </c>
      <c r="G196" s="37">
        <v>46248</v>
      </c>
      <c r="H196" s="33">
        <v>500</v>
      </c>
      <c r="I196" s="33" t="s">
        <v>123</v>
      </c>
      <c r="J196" s="33" t="s">
        <v>122</v>
      </c>
    </row>
    <row r="197" spans="1:10">
      <c r="A197" s="48" t="s">
        <v>91</v>
      </c>
      <c r="B197" s="33">
        <v>816226</v>
      </c>
      <c r="C197" s="43" t="s">
        <v>469</v>
      </c>
      <c r="D197" s="43" t="s">
        <v>470</v>
      </c>
      <c r="E197" s="43" t="s">
        <v>471</v>
      </c>
      <c r="F197" s="43">
        <v>211122091</v>
      </c>
      <c r="G197" s="37">
        <v>46251</v>
      </c>
      <c r="H197" s="33">
        <v>1000</v>
      </c>
      <c r="I197" s="33" t="s">
        <v>123</v>
      </c>
      <c r="J197" s="33" t="s">
        <v>122</v>
      </c>
    </row>
    <row r="198" spans="1:10">
      <c r="A198" s="49" t="s">
        <v>41</v>
      </c>
      <c r="B198" s="33">
        <v>816227</v>
      </c>
      <c r="C198" s="43" t="s">
        <v>469</v>
      </c>
      <c r="D198" s="43" t="s">
        <v>470</v>
      </c>
      <c r="E198" s="43" t="s">
        <v>471</v>
      </c>
      <c r="F198" s="43">
        <v>211122091</v>
      </c>
      <c r="G198" s="37">
        <v>46251</v>
      </c>
      <c r="H198" s="33">
        <v>1000</v>
      </c>
      <c r="I198" s="33" t="s">
        <v>123</v>
      </c>
      <c r="J198" s="33" t="s">
        <v>122</v>
      </c>
    </row>
    <row r="199" spans="1:10">
      <c r="A199" s="47" t="s">
        <v>307</v>
      </c>
      <c r="B199" s="30">
        <v>814645</v>
      </c>
      <c r="C199" s="43" t="s">
        <v>474</v>
      </c>
      <c r="D199" s="43" t="s">
        <v>475</v>
      </c>
      <c r="E199" s="43" t="s">
        <v>476</v>
      </c>
      <c r="F199" s="43">
        <v>211122264</v>
      </c>
      <c r="G199" s="37">
        <v>46254</v>
      </c>
      <c r="H199" s="33">
        <v>1000</v>
      </c>
      <c r="I199" s="33" t="s">
        <v>123</v>
      </c>
      <c r="J199" s="33" t="s">
        <v>122</v>
      </c>
    </row>
    <row r="200" spans="1:10">
      <c r="A200" s="47" t="s">
        <v>156</v>
      </c>
      <c r="B200" s="35">
        <v>809609</v>
      </c>
      <c r="C200" s="43" t="s">
        <v>477</v>
      </c>
      <c r="D200" s="43" t="s">
        <v>478</v>
      </c>
      <c r="E200" s="43" t="s">
        <v>479</v>
      </c>
      <c r="F200" s="43">
        <v>211122269</v>
      </c>
      <c r="G200" s="37">
        <v>46253</v>
      </c>
      <c r="H200" s="33">
        <v>500</v>
      </c>
      <c r="I200" s="33" t="s">
        <v>123</v>
      </c>
      <c r="J200" s="33" t="s">
        <v>122</v>
      </c>
    </row>
    <row r="201" spans="1:10">
      <c r="A201" s="47" t="s">
        <v>272</v>
      </c>
      <c r="B201" s="35">
        <v>809621</v>
      </c>
      <c r="C201" s="33" t="s">
        <v>477</v>
      </c>
      <c r="D201" s="33" t="s">
        <v>478</v>
      </c>
      <c r="E201" s="33" t="s">
        <v>479</v>
      </c>
      <c r="F201" s="33">
        <v>211122269</v>
      </c>
      <c r="G201" s="37">
        <v>46253</v>
      </c>
      <c r="H201" s="33">
        <v>500</v>
      </c>
      <c r="I201" s="33" t="s">
        <v>123</v>
      </c>
      <c r="J201" s="33" t="s">
        <v>122</v>
      </c>
    </row>
    <row r="202" spans="1:10">
      <c r="A202" s="47" t="s">
        <v>257</v>
      </c>
      <c r="B202" s="30">
        <v>814643</v>
      </c>
      <c r="C202" s="43" t="s">
        <v>477</v>
      </c>
      <c r="D202" s="43" t="s">
        <v>478</v>
      </c>
      <c r="E202" s="43" t="s">
        <v>479</v>
      </c>
      <c r="F202" s="43">
        <v>211122269</v>
      </c>
      <c r="G202" s="37">
        <v>46253</v>
      </c>
      <c r="H202" s="33">
        <v>1000</v>
      </c>
      <c r="I202" s="33" t="s">
        <v>123</v>
      </c>
      <c r="J202" s="33" t="s">
        <v>122</v>
      </c>
    </row>
    <row r="203" spans="1:10">
      <c r="A203" s="47" t="s">
        <v>359</v>
      </c>
      <c r="B203" s="35">
        <v>809610</v>
      </c>
      <c r="C203" s="45"/>
      <c r="D203" s="45"/>
      <c r="E203" s="45"/>
      <c r="F203" s="45"/>
      <c r="G203" s="37"/>
      <c r="H203" s="33">
        <v>500</v>
      </c>
      <c r="I203" s="33" t="s">
        <v>35</v>
      </c>
      <c r="J203" s="33" t="s">
        <v>122</v>
      </c>
    </row>
    <row r="204" spans="1:10">
      <c r="A204" s="47" t="s">
        <v>378</v>
      </c>
      <c r="B204" s="35">
        <v>809612</v>
      </c>
      <c r="C204" s="43"/>
      <c r="D204" s="43"/>
      <c r="E204" s="43"/>
      <c r="F204" s="43"/>
      <c r="G204" s="37"/>
      <c r="H204" s="33">
        <v>500</v>
      </c>
      <c r="I204" s="33" t="s">
        <v>35</v>
      </c>
      <c r="J204" s="33" t="s">
        <v>122</v>
      </c>
    </row>
    <row r="205" spans="1:10">
      <c r="A205" s="47" t="s">
        <v>209</v>
      </c>
      <c r="B205" s="35">
        <v>809613</v>
      </c>
      <c r="C205" s="43"/>
      <c r="D205" s="43"/>
      <c r="E205" s="43"/>
      <c r="F205" s="43"/>
      <c r="G205" s="37"/>
      <c r="H205" s="33">
        <v>500</v>
      </c>
      <c r="I205" s="33" t="s">
        <v>35</v>
      </c>
      <c r="J205" s="33" t="s">
        <v>122</v>
      </c>
    </row>
    <row r="206" spans="1:10">
      <c r="A206" s="47" t="s">
        <v>147</v>
      </c>
      <c r="B206" s="35">
        <v>809614</v>
      </c>
      <c r="C206" s="43"/>
      <c r="D206" s="43"/>
      <c r="E206" s="43"/>
      <c r="F206" s="43"/>
      <c r="G206" s="37"/>
      <c r="H206" s="33">
        <v>500</v>
      </c>
      <c r="I206" s="33" t="s">
        <v>35</v>
      </c>
      <c r="J206" s="33" t="s">
        <v>122</v>
      </c>
    </row>
    <row r="207" spans="1:10">
      <c r="A207" s="47" t="s">
        <v>168</v>
      </c>
      <c r="B207" s="35">
        <v>809615</v>
      </c>
      <c r="G207" s="37"/>
      <c r="H207" s="33">
        <v>500</v>
      </c>
      <c r="I207" s="33" t="s">
        <v>35</v>
      </c>
      <c r="J207" s="33" t="s">
        <v>122</v>
      </c>
    </row>
    <row r="208" spans="1:10">
      <c r="A208" s="47" t="s">
        <v>213</v>
      </c>
      <c r="B208" s="35">
        <v>809617</v>
      </c>
      <c r="C208" s="43"/>
      <c r="D208" s="43"/>
      <c r="E208" s="43"/>
      <c r="F208" s="43"/>
      <c r="G208" s="37"/>
      <c r="H208" s="33">
        <v>500</v>
      </c>
      <c r="I208" s="33" t="s">
        <v>35</v>
      </c>
      <c r="J208" s="33" t="s">
        <v>122</v>
      </c>
    </row>
    <row r="209" spans="1:10">
      <c r="A209" s="47" t="s">
        <v>242</v>
      </c>
      <c r="B209" s="35">
        <v>809619</v>
      </c>
      <c r="C209" s="43"/>
      <c r="D209" s="43"/>
      <c r="E209" s="43"/>
      <c r="F209" s="43"/>
      <c r="G209" s="37"/>
      <c r="H209" s="33">
        <v>500</v>
      </c>
      <c r="I209" s="33" t="s">
        <v>35</v>
      </c>
      <c r="J209" s="33" t="s">
        <v>122</v>
      </c>
    </row>
    <row r="210" spans="1:10">
      <c r="A210" s="47" t="s">
        <v>170</v>
      </c>
      <c r="B210" s="35">
        <v>809620</v>
      </c>
      <c r="G210" s="37"/>
      <c r="H210" s="33">
        <v>500</v>
      </c>
      <c r="I210" s="33" t="s">
        <v>35</v>
      </c>
      <c r="J210" s="33" t="s">
        <v>122</v>
      </c>
    </row>
    <row r="211" spans="1:10">
      <c r="A211" s="47" t="s">
        <v>377</v>
      </c>
      <c r="B211" s="35">
        <v>809623</v>
      </c>
      <c r="C211" s="43"/>
      <c r="D211" s="43"/>
      <c r="E211" s="43"/>
      <c r="F211" s="43"/>
      <c r="G211" s="37"/>
      <c r="H211" s="33">
        <v>500</v>
      </c>
      <c r="I211" s="33" t="s">
        <v>35</v>
      </c>
      <c r="J211" s="33" t="s">
        <v>122</v>
      </c>
    </row>
    <row r="212" spans="1:10">
      <c r="A212" s="47" t="s">
        <v>217</v>
      </c>
      <c r="B212" s="35">
        <v>809873</v>
      </c>
      <c r="C212" s="43"/>
      <c r="D212" s="43"/>
      <c r="E212" s="43"/>
      <c r="F212" s="43"/>
      <c r="G212" s="37"/>
      <c r="H212" s="33">
        <v>500</v>
      </c>
      <c r="I212" s="33" t="s">
        <v>35</v>
      </c>
      <c r="J212" s="33" t="s">
        <v>122</v>
      </c>
    </row>
    <row r="213" spans="1:10">
      <c r="A213" s="47" t="s">
        <v>361</v>
      </c>
      <c r="B213" s="35">
        <v>810099</v>
      </c>
      <c r="C213" s="45"/>
      <c r="D213" s="45"/>
      <c r="E213" s="45"/>
      <c r="F213" s="45"/>
      <c r="G213" s="37"/>
      <c r="H213" s="33">
        <v>500</v>
      </c>
      <c r="I213" s="33" t="s">
        <v>35</v>
      </c>
      <c r="J213" s="33" t="s">
        <v>122</v>
      </c>
    </row>
    <row r="214" spans="1:10">
      <c r="A214" s="47" t="s">
        <v>305</v>
      </c>
      <c r="B214" s="35">
        <v>812806</v>
      </c>
      <c r="C214" s="45"/>
      <c r="D214" s="45"/>
      <c r="E214" s="45"/>
      <c r="F214" s="45"/>
      <c r="G214" s="37"/>
      <c r="H214" s="33">
        <v>500</v>
      </c>
      <c r="I214" s="33" t="s">
        <v>35</v>
      </c>
      <c r="J214" s="33" t="s">
        <v>122</v>
      </c>
    </row>
    <row r="215" spans="1:10">
      <c r="A215" s="47" t="s">
        <v>379</v>
      </c>
      <c r="B215" s="35">
        <v>812812</v>
      </c>
      <c r="C215" s="45"/>
      <c r="D215" s="45"/>
      <c r="E215" s="45"/>
      <c r="F215" s="45"/>
      <c r="G215" s="37"/>
      <c r="H215" s="33">
        <v>500</v>
      </c>
      <c r="I215" s="33" t="s">
        <v>35</v>
      </c>
      <c r="J215" s="33" t="s">
        <v>122</v>
      </c>
    </row>
    <row r="216" spans="1:10">
      <c r="A216" s="47" t="s">
        <v>315</v>
      </c>
      <c r="B216" s="35">
        <v>812817</v>
      </c>
      <c r="H216" s="33">
        <v>500</v>
      </c>
      <c r="I216" s="33" t="s">
        <v>35</v>
      </c>
      <c r="J216" s="33" t="s">
        <v>122</v>
      </c>
    </row>
    <row r="217" spans="1:10">
      <c r="A217" s="47" t="s">
        <v>169</v>
      </c>
      <c r="B217" s="35">
        <v>812827</v>
      </c>
      <c r="G217" s="37"/>
      <c r="H217" s="33">
        <v>500</v>
      </c>
      <c r="I217" s="33" t="s">
        <v>35</v>
      </c>
      <c r="J217" s="33" t="s">
        <v>122</v>
      </c>
    </row>
    <row r="218" spans="1:10">
      <c r="A218" s="47" t="s">
        <v>200</v>
      </c>
      <c r="B218" s="35">
        <v>812828</v>
      </c>
      <c r="C218" s="43"/>
      <c r="D218" s="43"/>
      <c r="E218" s="43"/>
      <c r="F218" s="43"/>
      <c r="G218" s="37"/>
      <c r="H218" s="33">
        <v>500</v>
      </c>
      <c r="I218" s="33" t="s">
        <v>35</v>
      </c>
      <c r="J218" s="33" t="s">
        <v>122</v>
      </c>
    </row>
    <row r="219" spans="1:10">
      <c r="A219" s="47" t="s">
        <v>327</v>
      </c>
      <c r="B219" s="35">
        <v>812832</v>
      </c>
      <c r="C219" s="45"/>
      <c r="D219" s="45"/>
      <c r="E219" s="52"/>
      <c r="F219" s="45"/>
      <c r="G219" s="37"/>
      <c r="H219" s="33">
        <v>500</v>
      </c>
      <c r="I219" s="33" t="s">
        <v>35</v>
      </c>
      <c r="J219" s="33" t="s">
        <v>122</v>
      </c>
    </row>
    <row r="220" spans="1:10">
      <c r="A220" s="47" t="s">
        <v>275</v>
      </c>
      <c r="B220" s="35">
        <v>812833</v>
      </c>
      <c r="C220" s="45"/>
      <c r="D220" s="45"/>
      <c r="E220" s="46"/>
      <c r="F220" s="45"/>
      <c r="G220" s="37"/>
      <c r="H220" s="33">
        <v>500</v>
      </c>
      <c r="I220" s="33" t="s">
        <v>35</v>
      </c>
      <c r="J220" s="33" t="s">
        <v>122</v>
      </c>
    </row>
    <row r="221" spans="1:10">
      <c r="A221" s="47" t="s">
        <v>313</v>
      </c>
      <c r="B221" s="35">
        <v>812922</v>
      </c>
      <c r="D221" s="35"/>
      <c r="F221" s="35"/>
      <c r="G221" s="37"/>
      <c r="H221" s="33">
        <v>1000</v>
      </c>
      <c r="I221" s="33" t="s">
        <v>35</v>
      </c>
      <c r="J221" s="33" t="s">
        <v>122</v>
      </c>
    </row>
    <row r="222" spans="1:10">
      <c r="A222" s="47" t="s">
        <v>177</v>
      </c>
      <c r="B222" s="35">
        <v>812928</v>
      </c>
      <c r="D222" s="35"/>
      <c r="E222" s="43"/>
      <c r="F222" s="35"/>
      <c r="G222" s="37"/>
      <c r="H222" s="33">
        <v>1000</v>
      </c>
      <c r="I222" s="33" t="s">
        <v>35</v>
      </c>
      <c r="J222" s="33" t="s">
        <v>122</v>
      </c>
    </row>
    <row r="223" spans="1:10">
      <c r="A223" s="47" t="s">
        <v>273</v>
      </c>
      <c r="B223" s="35">
        <v>814438</v>
      </c>
      <c r="G223" s="44"/>
      <c r="H223" s="33">
        <v>500</v>
      </c>
      <c r="I223" s="33" t="s">
        <v>35</v>
      </c>
      <c r="J223" s="33" t="s">
        <v>122</v>
      </c>
    </row>
    <row r="224" spans="1:10">
      <c r="A224" s="47" t="s">
        <v>219</v>
      </c>
      <c r="B224" s="35">
        <v>814445</v>
      </c>
      <c r="G224" s="37"/>
      <c r="H224" s="33">
        <v>500</v>
      </c>
      <c r="I224" s="33" t="s">
        <v>35</v>
      </c>
      <c r="J224" s="33" t="s">
        <v>122</v>
      </c>
    </row>
    <row r="225" spans="1:10">
      <c r="A225" s="47" t="s">
        <v>199</v>
      </c>
      <c r="B225" s="35">
        <v>814447</v>
      </c>
      <c r="C225" s="43"/>
      <c r="D225" s="43"/>
      <c r="E225" s="43"/>
      <c r="F225" s="43"/>
      <c r="G225" s="44"/>
      <c r="H225" s="33">
        <v>500</v>
      </c>
      <c r="I225" s="33" t="s">
        <v>35</v>
      </c>
      <c r="J225" s="33" t="s">
        <v>122</v>
      </c>
    </row>
    <row r="226" spans="1:10">
      <c r="A226" s="47" t="s">
        <v>161</v>
      </c>
      <c r="B226" s="35">
        <v>814456</v>
      </c>
      <c r="C226" s="43"/>
      <c r="D226" s="43"/>
      <c r="E226" s="43"/>
      <c r="F226" s="43"/>
      <c r="G226" s="44"/>
      <c r="H226" s="33">
        <v>500</v>
      </c>
      <c r="I226" s="33" t="s">
        <v>35</v>
      </c>
      <c r="J226" s="33" t="s">
        <v>122</v>
      </c>
    </row>
    <row r="227" spans="1:10">
      <c r="A227" s="47" t="s">
        <v>176</v>
      </c>
      <c r="B227" s="35">
        <v>814468</v>
      </c>
      <c r="C227" s="43"/>
      <c r="D227" s="43"/>
      <c r="E227" s="43"/>
      <c r="F227" s="43"/>
      <c r="G227" s="44"/>
      <c r="H227" s="33">
        <v>500</v>
      </c>
      <c r="I227" s="33" t="s">
        <v>35</v>
      </c>
      <c r="J227" s="33" t="s">
        <v>122</v>
      </c>
    </row>
    <row r="228" spans="1:10">
      <c r="A228" s="47" t="s">
        <v>380</v>
      </c>
      <c r="B228" s="35">
        <v>814481</v>
      </c>
      <c r="C228" s="45"/>
      <c r="D228" s="45"/>
      <c r="E228" s="45"/>
      <c r="F228" s="45"/>
      <c r="G228" s="44"/>
      <c r="H228" s="33">
        <v>500</v>
      </c>
      <c r="I228" s="33" t="s">
        <v>35</v>
      </c>
      <c r="J228" s="33" t="s">
        <v>122</v>
      </c>
    </row>
    <row r="229" spans="1:10">
      <c r="A229" s="47" t="s">
        <v>135</v>
      </c>
      <c r="B229" s="30">
        <v>814494</v>
      </c>
      <c r="G229" s="37"/>
      <c r="H229" s="33">
        <v>1000</v>
      </c>
      <c r="I229" s="33" t="s">
        <v>35</v>
      </c>
      <c r="J229" s="33" t="s">
        <v>122</v>
      </c>
    </row>
    <row r="230" spans="1:10">
      <c r="A230" s="47" t="s">
        <v>129</v>
      </c>
      <c r="B230" s="30">
        <v>814495</v>
      </c>
      <c r="G230" s="37"/>
      <c r="H230" s="33">
        <v>1000</v>
      </c>
      <c r="I230" s="33" t="s">
        <v>35</v>
      </c>
      <c r="J230" s="33" t="s">
        <v>122</v>
      </c>
    </row>
    <row r="231" spans="1:10">
      <c r="A231" s="47" t="s">
        <v>133</v>
      </c>
      <c r="B231" s="30">
        <v>814609</v>
      </c>
      <c r="C231" s="43"/>
      <c r="D231" s="43"/>
      <c r="E231" s="43"/>
      <c r="F231" s="43"/>
      <c r="G231" s="44"/>
      <c r="H231" s="33">
        <v>1000</v>
      </c>
      <c r="I231" s="33" t="s">
        <v>35</v>
      </c>
      <c r="J231" s="33" t="s">
        <v>122</v>
      </c>
    </row>
    <row r="232" spans="1:10">
      <c r="A232" s="47" t="s">
        <v>166</v>
      </c>
      <c r="B232" s="30">
        <v>814641</v>
      </c>
      <c r="G232" s="37"/>
      <c r="H232" s="33">
        <v>1000</v>
      </c>
      <c r="I232" s="33" t="s">
        <v>35</v>
      </c>
      <c r="J232" s="33" t="s">
        <v>122</v>
      </c>
    </row>
    <row r="233" spans="1:10">
      <c r="A233" s="47" t="s">
        <v>255</v>
      </c>
      <c r="B233" s="30">
        <v>814642</v>
      </c>
      <c r="C233" s="43"/>
      <c r="D233" s="43"/>
      <c r="E233" s="43"/>
      <c r="F233" s="43"/>
      <c r="G233" s="44"/>
      <c r="H233" s="33">
        <v>1000</v>
      </c>
      <c r="I233" s="33" t="s">
        <v>35</v>
      </c>
      <c r="J233" s="33" t="s">
        <v>122</v>
      </c>
    </row>
    <row r="234" spans="1:10">
      <c r="A234" s="47" t="s">
        <v>134</v>
      </c>
      <c r="B234" s="30">
        <v>814644</v>
      </c>
      <c r="G234" s="37"/>
      <c r="H234" s="33">
        <v>1000</v>
      </c>
      <c r="I234" s="33" t="s">
        <v>35</v>
      </c>
      <c r="J234" s="33" t="s">
        <v>122</v>
      </c>
    </row>
    <row r="235" spans="1:10">
      <c r="A235" s="49" t="s">
        <v>396</v>
      </c>
      <c r="B235" s="35">
        <v>816078</v>
      </c>
      <c r="H235" s="33">
        <v>500</v>
      </c>
      <c r="I235" s="33" t="s">
        <v>35</v>
      </c>
      <c r="J235" s="33" t="s">
        <v>122</v>
      </c>
    </row>
    <row r="236" spans="1:10">
      <c r="A236" s="49" t="s">
        <v>397</v>
      </c>
      <c r="B236" s="35">
        <v>816220</v>
      </c>
      <c r="H236" s="33">
        <v>500</v>
      </c>
      <c r="I236" s="33" t="s">
        <v>35</v>
      </c>
      <c r="J236" s="33" t="s">
        <v>122</v>
      </c>
    </row>
    <row r="237" spans="1:10">
      <c r="A237" s="48" t="s">
        <v>49</v>
      </c>
      <c r="B237" s="33">
        <v>816222</v>
      </c>
      <c r="C237" s="43"/>
      <c r="D237" s="43"/>
      <c r="E237" s="43"/>
      <c r="F237" s="43"/>
      <c r="G237" s="43"/>
      <c r="H237" s="33">
        <v>1000</v>
      </c>
      <c r="I237" s="33" t="s">
        <v>35</v>
      </c>
      <c r="J237" s="33" t="s">
        <v>122</v>
      </c>
    </row>
    <row r="238" spans="1:10">
      <c r="A238" s="48" t="s">
        <v>60</v>
      </c>
      <c r="B238" s="33">
        <v>816224</v>
      </c>
      <c r="C238" s="43"/>
      <c r="D238" s="43"/>
      <c r="E238" s="43"/>
      <c r="F238" s="43"/>
      <c r="G238" s="43"/>
      <c r="H238" s="33">
        <v>1000</v>
      </c>
      <c r="I238" s="33" t="s">
        <v>35</v>
      </c>
      <c r="J238" s="33" t="s">
        <v>122</v>
      </c>
    </row>
    <row r="239" spans="1:10">
      <c r="A239" s="49" t="s">
        <v>398</v>
      </c>
      <c r="B239" s="35">
        <v>816268</v>
      </c>
      <c r="H239" s="33">
        <v>500</v>
      </c>
      <c r="I239" s="33" t="s">
        <v>35</v>
      </c>
      <c r="J239" s="33" t="s">
        <v>122</v>
      </c>
    </row>
    <row r="240" spans="1:10">
      <c r="A240" s="49" t="s">
        <v>401</v>
      </c>
      <c r="B240" s="35">
        <v>816271</v>
      </c>
      <c r="C240" s="43"/>
      <c r="D240" s="43"/>
      <c r="E240" s="43"/>
      <c r="F240" s="43"/>
      <c r="G240" s="43"/>
      <c r="H240" s="33">
        <v>500</v>
      </c>
      <c r="I240" s="33" t="s">
        <v>35</v>
      </c>
      <c r="J240" s="33" t="s">
        <v>122</v>
      </c>
    </row>
    <row r="241" spans="1:10">
      <c r="A241" s="49" t="s">
        <v>403</v>
      </c>
      <c r="B241" s="35">
        <v>816273</v>
      </c>
      <c r="C241" s="43"/>
      <c r="D241" s="43"/>
      <c r="E241" s="43"/>
      <c r="F241" s="43"/>
      <c r="G241" s="43"/>
      <c r="H241" s="33">
        <v>500</v>
      </c>
      <c r="I241" s="33" t="s">
        <v>35</v>
      </c>
      <c r="J241" s="33" t="s">
        <v>122</v>
      </c>
    </row>
    <row r="242" spans="1:10">
      <c r="A242" s="49" t="s">
        <v>406</v>
      </c>
      <c r="B242" s="35">
        <v>816276</v>
      </c>
      <c r="H242" s="33">
        <v>500</v>
      </c>
      <c r="I242" s="33" t="s">
        <v>35</v>
      </c>
      <c r="J242" s="33" t="s">
        <v>122</v>
      </c>
    </row>
    <row r="243" spans="1:10">
      <c r="A243" s="49" t="s">
        <v>408</v>
      </c>
      <c r="B243" s="35">
        <v>816278</v>
      </c>
      <c r="H243" s="33">
        <v>500</v>
      </c>
      <c r="I243" s="33" t="s">
        <v>35</v>
      </c>
      <c r="J243" s="33" t="s">
        <v>122</v>
      </c>
    </row>
    <row r="244" spans="1:10">
      <c r="A244" s="49" t="s">
        <v>409</v>
      </c>
      <c r="B244" s="35">
        <v>816279</v>
      </c>
      <c r="H244" s="33">
        <v>500</v>
      </c>
      <c r="I244" s="33" t="s">
        <v>35</v>
      </c>
      <c r="J244" s="33" t="s">
        <v>122</v>
      </c>
    </row>
    <row r="245" spans="1:10">
      <c r="A245" s="49" t="s">
        <v>411</v>
      </c>
      <c r="B245" s="35">
        <v>816281</v>
      </c>
      <c r="H245" s="33">
        <v>500</v>
      </c>
      <c r="I245" s="33" t="s">
        <v>35</v>
      </c>
      <c r="J245" s="33" t="s">
        <v>122</v>
      </c>
    </row>
    <row r="246" spans="1:10">
      <c r="A246" s="49" t="s">
        <v>413</v>
      </c>
      <c r="B246" s="35">
        <v>816283</v>
      </c>
      <c r="H246" s="33">
        <v>500</v>
      </c>
      <c r="I246" s="33" t="s">
        <v>35</v>
      </c>
      <c r="J246" s="33" t="s">
        <v>122</v>
      </c>
    </row>
    <row r="247" spans="1:10">
      <c r="A247" s="49" t="s">
        <v>416</v>
      </c>
      <c r="B247" s="35">
        <v>816290</v>
      </c>
      <c r="H247" s="33">
        <v>500</v>
      </c>
      <c r="I247" s="33" t="s">
        <v>35</v>
      </c>
      <c r="J247" s="33" t="s">
        <v>122</v>
      </c>
    </row>
    <row r="248" spans="1:10">
      <c r="A248" s="49" t="s">
        <v>467</v>
      </c>
      <c r="B248" s="35">
        <v>816334</v>
      </c>
      <c r="H248" s="33">
        <v>1000</v>
      </c>
      <c r="I248" s="33" t="s">
        <v>35</v>
      </c>
      <c r="J248" s="33" t="s">
        <v>122</v>
      </c>
    </row>
    <row r="249" spans="1:10">
      <c r="A249" s="49" t="s">
        <v>468</v>
      </c>
      <c r="B249" s="35">
        <v>816335</v>
      </c>
      <c r="H249" s="33">
        <v>1000</v>
      </c>
      <c r="I249" s="33" t="s">
        <v>35</v>
      </c>
      <c r="J249" s="33" t="s">
        <v>122</v>
      </c>
    </row>
    <row r="250" spans="1:10">
      <c r="A250" s="49" t="s">
        <v>417</v>
      </c>
      <c r="B250" s="35">
        <v>816366</v>
      </c>
      <c r="H250" s="33">
        <v>500</v>
      </c>
      <c r="I250" s="33" t="s">
        <v>35</v>
      </c>
      <c r="J250" s="33" t="s">
        <v>122</v>
      </c>
    </row>
    <row r="251" spans="1:10">
      <c r="A251" s="49" t="s">
        <v>418</v>
      </c>
      <c r="B251" s="35">
        <v>816367</v>
      </c>
      <c r="H251" s="33">
        <v>500</v>
      </c>
      <c r="I251" s="33" t="s">
        <v>35</v>
      </c>
      <c r="J251" s="33" t="s">
        <v>122</v>
      </c>
    </row>
    <row r="252" spans="1:10">
      <c r="A252" s="49" t="s">
        <v>419</v>
      </c>
      <c r="B252" s="35">
        <v>816368</v>
      </c>
      <c r="H252" s="33">
        <v>500</v>
      </c>
      <c r="I252" s="33" t="s">
        <v>35</v>
      </c>
      <c r="J252" s="33" t="s">
        <v>122</v>
      </c>
    </row>
    <row r="253" spans="1:10">
      <c r="A253" s="49" t="s">
        <v>420</v>
      </c>
      <c r="B253" s="35">
        <v>816369</v>
      </c>
      <c r="H253" s="33">
        <v>500</v>
      </c>
      <c r="I253" s="33" t="s">
        <v>35</v>
      </c>
      <c r="J253" s="33" t="s">
        <v>122</v>
      </c>
    </row>
    <row r="254" spans="1:10">
      <c r="A254" s="49" t="s">
        <v>421</v>
      </c>
      <c r="B254" s="35">
        <v>816370</v>
      </c>
      <c r="H254" s="33">
        <v>500</v>
      </c>
      <c r="I254" s="33" t="s">
        <v>35</v>
      </c>
      <c r="J254" s="33" t="s">
        <v>122</v>
      </c>
    </row>
    <row r="255" spans="1:10">
      <c r="A255" s="49" t="s">
        <v>422</v>
      </c>
      <c r="B255" s="35">
        <v>816371</v>
      </c>
      <c r="H255" s="33">
        <v>500</v>
      </c>
      <c r="I255" s="33" t="s">
        <v>35</v>
      </c>
      <c r="J255" s="33" t="s">
        <v>122</v>
      </c>
    </row>
    <row r="256" spans="1:10">
      <c r="A256" s="49" t="s">
        <v>423</v>
      </c>
      <c r="B256" s="35">
        <v>816372</v>
      </c>
      <c r="H256" s="33">
        <v>500</v>
      </c>
      <c r="I256" s="33" t="s">
        <v>35</v>
      </c>
      <c r="J256" s="33" t="s">
        <v>122</v>
      </c>
    </row>
    <row r="257" spans="1:10">
      <c r="A257" s="49" t="s">
        <v>424</v>
      </c>
      <c r="B257" s="35">
        <v>816373</v>
      </c>
      <c r="H257" s="33">
        <v>500</v>
      </c>
      <c r="I257" s="33" t="s">
        <v>35</v>
      </c>
      <c r="J257" s="33" t="s">
        <v>122</v>
      </c>
    </row>
    <row r="258" spans="1:10">
      <c r="A258" s="49" t="s">
        <v>425</v>
      </c>
      <c r="B258" s="35">
        <v>816374</v>
      </c>
      <c r="H258" s="33">
        <v>500</v>
      </c>
      <c r="I258" s="33" t="s">
        <v>35</v>
      </c>
      <c r="J258" s="33" t="s">
        <v>122</v>
      </c>
    </row>
    <row r="259" spans="1:10">
      <c r="A259" s="49" t="s">
        <v>426</v>
      </c>
      <c r="B259" s="35">
        <v>816375</v>
      </c>
      <c r="H259" s="33">
        <v>500</v>
      </c>
      <c r="I259" s="33" t="s">
        <v>35</v>
      </c>
      <c r="J259" s="33" t="s">
        <v>122</v>
      </c>
    </row>
    <row r="260" spans="1:10">
      <c r="A260" s="49" t="s">
        <v>427</v>
      </c>
      <c r="B260" s="35">
        <v>816376</v>
      </c>
      <c r="H260" s="33">
        <v>500</v>
      </c>
      <c r="I260" s="33" t="s">
        <v>35</v>
      </c>
      <c r="J260" s="33" t="s">
        <v>122</v>
      </c>
    </row>
    <row r="261" spans="1:10">
      <c r="A261" s="49" t="s">
        <v>428</v>
      </c>
      <c r="B261" s="35">
        <v>816377</v>
      </c>
      <c r="H261" s="33">
        <v>500</v>
      </c>
      <c r="I261" s="33" t="s">
        <v>35</v>
      </c>
      <c r="J261" s="33" t="s">
        <v>122</v>
      </c>
    </row>
    <row r="262" spans="1:10">
      <c r="A262" s="49" t="s">
        <v>429</v>
      </c>
      <c r="B262" s="35">
        <v>816378</v>
      </c>
      <c r="H262" s="33">
        <v>500</v>
      </c>
      <c r="I262" s="33" t="s">
        <v>35</v>
      </c>
      <c r="J262" s="33" t="s">
        <v>122</v>
      </c>
    </row>
    <row r="263" spans="1:10">
      <c r="A263" s="49" t="s">
        <v>430</v>
      </c>
      <c r="B263" s="35">
        <v>816379</v>
      </c>
      <c r="H263" s="33">
        <v>500</v>
      </c>
      <c r="I263" s="33" t="s">
        <v>35</v>
      </c>
      <c r="J263" s="33" t="s">
        <v>122</v>
      </c>
    </row>
    <row r="264" spans="1:10">
      <c r="A264" s="49" t="s">
        <v>431</v>
      </c>
      <c r="B264" s="35">
        <v>816380</v>
      </c>
      <c r="H264" s="33">
        <v>500</v>
      </c>
      <c r="I264" s="33" t="s">
        <v>35</v>
      </c>
      <c r="J264" s="33" t="s">
        <v>122</v>
      </c>
    </row>
    <row r="265" spans="1:10">
      <c r="A265" s="49" t="s">
        <v>432</v>
      </c>
      <c r="B265" s="35">
        <v>816381</v>
      </c>
      <c r="H265" s="33">
        <v>500</v>
      </c>
      <c r="I265" s="33" t="s">
        <v>35</v>
      </c>
      <c r="J265" s="33" t="s">
        <v>122</v>
      </c>
    </row>
    <row r="266" spans="1:10">
      <c r="A266" s="49" t="s">
        <v>433</v>
      </c>
      <c r="B266" s="35">
        <v>816382</v>
      </c>
      <c r="H266" s="33">
        <v>500</v>
      </c>
      <c r="I266" s="33" t="s">
        <v>35</v>
      </c>
      <c r="J266" s="33" t="s">
        <v>122</v>
      </c>
    </row>
    <row r="267" spans="1:10">
      <c r="A267" s="49" t="s">
        <v>434</v>
      </c>
      <c r="B267" s="35">
        <v>816383</v>
      </c>
      <c r="H267" s="33">
        <v>500</v>
      </c>
      <c r="I267" s="33" t="s">
        <v>35</v>
      </c>
      <c r="J267" s="33" t="s">
        <v>122</v>
      </c>
    </row>
    <row r="268" spans="1:10">
      <c r="A268" s="49" t="s">
        <v>435</v>
      </c>
      <c r="B268" s="35">
        <v>816384</v>
      </c>
      <c r="H268" s="33">
        <v>500</v>
      </c>
      <c r="I268" s="33" t="s">
        <v>35</v>
      </c>
      <c r="J268" s="33" t="s">
        <v>122</v>
      </c>
    </row>
    <row r="269" spans="1:10">
      <c r="A269" s="49" t="s">
        <v>436</v>
      </c>
      <c r="B269" s="35">
        <v>816385</v>
      </c>
      <c r="H269" s="33">
        <v>500</v>
      </c>
      <c r="I269" s="33" t="s">
        <v>35</v>
      </c>
      <c r="J269" s="33" t="s">
        <v>122</v>
      </c>
    </row>
    <row r="270" spans="1:10">
      <c r="A270" s="49" t="s">
        <v>437</v>
      </c>
      <c r="B270" s="35">
        <v>816386</v>
      </c>
      <c r="H270" s="33">
        <v>500</v>
      </c>
      <c r="I270" s="33" t="s">
        <v>35</v>
      </c>
      <c r="J270" s="33" t="s">
        <v>122</v>
      </c>
    </row>
    <row r="271" spans="1:10">
      <c r="A271" s="49" t="s">
        <v>438</v>
      </c>
      <c r="B271" s="35">
        <v>816387</v>
      </c>
      <c r="H271" s="33">
        <v>500</v>
      </c>
      <c r="I271" s="33" t="s">
        <v>35</v>
      </c>
      <c r="J271" s="33" t="s">
        <v>122</v>
      </c>
    </row>
    <row r="272" spans="1:10">
      <c r="A272" s="49" t="s">
        <v>439</v>
      </c>
      <c r="B272" s="35">
        <v>816388</v>
      </c>
      <c r="H272" s="33">
        <v>500</v>
      </c>
      <c r="I272" s="33" t="s">
        <v>35</v>
      </c>
      <c r="J272" s="33" t="s">
        <v>122</v>
      </c>
    </row>
    <row r="273" spans="1:10">
      <c r="A273" s="49" t="s">
        <v>440</v>
      </c>
      <c r="B273" s="35">
        <v>816389</v>
      </c>
      <c r="H273" s="33">
        <v>500</v>
      </c>
      <c r="I273" s="33" t="s">
        <v>35</v>
      </c>
      <c r="J273" s="33" t="s">
        <v>122</v>
      </c>
    </row>
    <row r="274" spans="1:10">
      <c r="A274" s="49" t="s">
        <v>441</v>
      </c>
      <c r="B274" s="35">
        <v>816390</v>
      </c>
      <c r="H274" s="33">
        <v>500</v>
      </c>
      <c r="I274" s="33" t="s">
        <v>35</v>
      </c>
      <c r="J274" s="33" t="s">
        <v>122</v>
      </c>
    </row>
    <row r="275" spans="1:10">
      <c r="A275" s="49" t="s">
        <v>442</v>
      </c>
      <c r="B275" s="35">
        <v>816391</v>
      </c>
      <c r="H275" s="33">
        <v>500</v>
      </c>
      <c r="I275" s="33" t="s">
        <v>35</v>
      </c>
      <c r="J275" s="33" t="s">
        <v>122</v>
      </c>
    </row>
    <row r="276" spans="1:10">
      <c r="A276" s="49" t="s">
        <v>443</v>
      </c>
      <c r="B276" s="35">
        <v>816392</v>
      </c>
      <c r="H276" s="33">
        <v>500</v>
      </c>
      <c r="I276" s="33" t="s">
        <v>35</v>
      </c>
      <c r="J276" s="33" t="s">
        <v>122</v>
      </c>
    </row>
    <row r="277" spans="1:10">
      <c r="A277" s="49" t="s">
        <v>444</v>
      </c>
      <c r="B277" s="35">
        <v>816393</v>
      </c>
      <c r="H277" s="33">
        <v>500</v>
      </c>
      <c r="I277" s="33" t="s">
        <v>35</v>
      </c>
      <c r="J277" s="33" t="s">
        <v>122</v>
      </c>
    </row>
    <row r="278" spans="1:10">
      <c r="A278" s="49" t="s">
        <v>445</v>
      </c>
      <c r="B278" s="35">
        <v>816394</v>
      </c>
      <c r="H278" s="33">
        <v>500</v>
      </c>
      <c r="I278" s="33" t="s">
        <v>35</v>
      </c>
      <c r="J278" s="33" t="s">
        <v>122</v>
      </c>
    </row>
    <row r="279" spans="1:10">
      <c r="A279" s="49" t="s">
        <v>446</v>
      </c>
      <c r="B279" s="35">
        <v>816395</v>
      </c>
      <c r="H279" s="33">
        <v>500</v>
      </c>
      <c r="I279" s="33" t="s">
        <v>35</v>
      </c>
      <c r="J279" s="33" t="s">
        <v>122</v>
      </c>
    </row>
    <row r="280" spans="1:10">
      <c r="A280" s="49" t="s">
        <v>447</v>
      </c>
      <c r="B280" s="35">
        <v>816396</v>
      </c>
      <c r="H280" s="33">
        <v>500</v>
      </c>
      <c r="I280" s="33" t="s">
        <v>35</v>
      </c>
      <c r="J280" s="33" t="s">
        <v>122</v>
      </c>
    </row>
    <row r="281" spans="1:10">
      <c r="A281" s="49" t="s">
        <v>448</v>
      </c>
      <c r="B281" s="35">
        <v>816397</v>
      </c>
      <c r="H281" s="33">
        <v>500</v>
      </c>
      <c r="I281" s="33" t="s">
        <v>35</v>
      </c>
      <c r="J281" s="33" t="s">
        <v>122</v>
      </c>
    </row>
    <row r="282" spans="1:10">
      <c r="A282" s="49" t="s">
        <v>449</v>
      </c>
      <c r="B282" s="35">
        <v>816398</v>
      </c>
      <c r="H282" s="33">
        <v>500</v>
      </c>
      <c r="I282" s="33" t="s">
        <v>35</v>
      </c>
      <c r="J282" s="33" t="s">
        <v>122</v>
      </c>
    </row>
    <row r="283" spans="1:10">
      <c r="A283" s="49" t="s">
        <v>450</v>
      </c>
      <c r="B283" s="35">
        <v>816399</v>
      </c>
      <c r="H283" s="33">
        <v>500</v>
      </c>
      <c r="I283" s="33" t="s">
        <v>35</v>
      </c>
      <c r="J283" s="33" t="s">
        <v>122</v>
      </c>
    </row>
    <row r="284" spans="1:10">
      <c r="A284" s="49" t="s">
        <v>451</v>
      </c>
      <c r="B284" s="35">
        <v>816400</v>
      </c>
      <c r="H284" s="33">
        <v>500</v>
      </c>
      <c r="I284" s="33" t="s">
        <v>35</v>
      </c>
      <c r="J284" s="33" t="s">
        <v>122</v>
      </c>
    </row>
    <row r="285" spans="1:10">
      <c r="A285" s="49" t="s">
        <v>452</v>
      </c>
      <c r="B285" s="35">
        <v>816401</v>
      </c>
      <c r="H285" s="33">
        <v>500</v>
      </c>
      <c r="I285" s="33" t="s">
        <v>35</v>
      </c>
      <c r="J285" s="33" t="s">
        <v>122</v>
      </c>
    </row>
    <row r="286" spans="1:10">
      <c r="A286" s="49" t="s">
        <v>453</v>
      </c>
      <c r="B286" s="35">
        <v>816402</v>
      </c>
      <c r="H286" s="33">
        <v>500</v>
      </c>
      <c r="I286" s="33" t="s">
        <v>35</v>
      </c>
      <c r="J286" s="33" t="s">
        <v>122</v>
      </c>
    </row>
    <row r="287" spans="1:10">
      <c r="A287" s="49" t="s">
        <v>454</v>
      </c>
      <c r="B287" s="35">
        <v>816403</v>
      </c>
      <c r="H287" s="33">
        <v>500</v>
      </c>
      <c r="I287" s="33" t="s">
        <v>35</v>
      </c>
      <c r="J287" s="33" t="s">
        <v>122</v>
      </c>
    </row>
    <row r="288" spans="1:10">
      <c r="A288" s="49" t="s">
        <v>455</v>
      </c>
      <c r="B288" s="35">
        <v>816404</v>
      </c>
      <c r="H288" s="33">
        <v>500</v>
      </c>
      <c r="I288" s="33" t="s">
        <v>35</v>
      </c>
      <c r="J288" s="33" t="s">
        <v>122</v>
      </c>
    </row>
    <row r="289" spans="1:10">
      <c r="A289" s="49" t="s">
        <v>456</v>
      </c>
      <c r="B289" s="35">
        <v>816405</v>
      </c>
      <c r="H289" s="33">
        <v>500</v>
      </c>
      <c r="I289" s="33" t="s">
        <v>35</v>
      </c>
      <c r="J289" s="33" t="s">
        <v>122</v>
      </c>
    </row>
    <row r="290" spans="1:10">
      <c r="A290" s="49" t="s">
        <v>457</v>
      </c>
      <c r="B290" s="35">
        <v>816406</v>
      </c>
      <c r="H290" s="33">
        <v>500</v>
      </c>
      <c r="I290" s="33" t="s">
        <v>35</v>
      </c>
      <c r="J290" s="33" t="s">
        <v>122</v>
      </c>
    </row>
    <row r="291" spans="1:10">
      <c r="A291" s="49" t="s">
        <v>458</v>
      </c>
      <c r="B291" s="35">
        <v>816407</v>
      </c>
      <c r="H291" s="33">
        <v>500</v>
      </c>
      <c r="I291" s="33" t="s">
        <v>35</v>
      </c>
      <c r="J291" s="33" t="s">
        <v>122</v>
      </c>
    </row>
    <row r="292" spans="1:10">
      <c r="A292" s="49" t="s">
        <v>459</v>
      </c>
      <c r="B292" s="35">
        <v>816408</v>
      </c>
      <c r="H292" s="33">
        <v>500</v>
      </c>
      <c r="I292" s="33" t="s">
        <v>35</v>
      </c>
      <c r="J292" s="33" t="s">
        <v>122</v>
      </c>
    </row>
    <row r="293" spans="1:10">
      <c r="A293" s="49" t="s">
        <v>460</v>
      </c>
      <c r="B293" s="35">
        <v>816409</v>
      </c>
      <c r="H293" s="33">
        <v>500</v>
      </c>
      <c r="I293" s="33" t="s">
        <v>35</v>
      </c>
      <c r="J293" s="33" t="s">
        <v>122</v>
      </c>
    </row>
    <row r="294" spans="1:10">
      <c r="A294" s="49" t="s">
        <v>461</v>
      </c>
      <c r="B294" s="35">
        <v>816410</v>
      </c>
      <c r="H294" s="33">
        <v>500</v>
      </c>
      <c r="I294" s="33" t="s">
        <v>35</v>
      </c>
      <c r="J294" s="33" t="s">
        <v>122</v>
      </c>
    </row>
    <row r="295" spans="1:10">
      <c r="A295" s="49" t="s">
        <v>462</v>
      </c>
      <c r="B295" s="35">
        <v>816411</v>
      </c>
      <c r="H295" s="33">
        <v>500</v>
      </c>
      <c r="I295" s="33" t="s">
        <v>35</v>
      </c>
      <c r="J295" s="33" t="s">
        <v>122</v>
      </c>
    </row>
    <row r="296" spans="1:10">
      <c r="A296" s="49" t="s">
        <v>463</v>
      </c>
      <c r="B296" s="35">
        <v>816412</v>
      </c>
      <c r="H296" s="33">
        <v>500</v>
      </c>
      <c r="I296" s="33" t="s">
        <v>35</v>
      </c>
      <c r="J296" s="33" t="s">
        <v>122</v>
      </c>
    </row>
    <row r="297" spans="1:10">
      <c r="A297" s="49" t="s">
        <v>464</v>
      </c>
      <c r="B297" s="35">
        <v>816413</v>
      </c>
      <c r="H297" s="33">
        <v>500</v>
      </c>
      <c r="I297" s="33" t="s">
        <v>35</v>
      </c>
      <c r="J297" s="33" t="s">
        <v>122</v>
      </c>
    </row>
    <row r="298" spans="1:10">
      <c r="A298" s="49" t="s">
        <v>465</v>
      </c>
      <c r="B298" s="35">
        <v>816414</v>
      </c>
      <c r="H298" s="33">
        <v>500</v>
      </c>
      <c r="I298" s="33" t="s">
        <v>35</v>
      </c>
      <c r="J298" s="33" t="s">
        <v>122</v>
      </c>
    </row>
    <row r="299" spans="1:10">
      <c r="A299" s="49" t="s">
        <v>466</v>
      </c>
      <c r="B299" s="35">
        <v>816415</v>
      </c>
      <c r="H299" s="33">
        <v>500</v>
      </c>
      <c r="I299" s="33" t="s">
        <v>35</v>
      </c>
      <c r="J299" s="33" t="s">
        <v>122</v>
      </c>
    </row>
    <row r="300" spans="1:10">
      <c r="A300" s="48" t="s">
        <v>68</v>
      </c>
      <c r="H300" s="33">
        <v>500</v>
      </c>
      <c r="I300" s="33" t="s">
        <v>35</v>
      </c>
      <c r="J300" s="33" t="s">
        <v>122</v>
      </c>
    </row>
    <row r="301" spans="1:10">
      <c r="A301" s="48" t="s">
        <v>71</v>
      </c>
      <c r="H301" s="33">
        <v>500</v>
      </c>
      <c r="I301" s="33" t="s">
        <v>35</v>
      </c>
      <c r="J301" s="33" t="s">
        <v>122</v>
      </c>
    </row>
    <row r="302" spans="1:10">
      <c r="A302" s="48" t="s">
        <v>89</v>
      </c>
      <c r="H302" s="33">
        <v>500</v>
      </c>
      <c r="I302" s="33" t="s">
        <v>35</v>
      </c>
      <c r="J302" s="33" t="s">
        <v>122</v>
      </c>
    </row>
    <row r="303" spans="1:10">
      <c r="A303" s="48" t="s">
        <v>67</v>
      </c>
      <c r="H303" s="33">
        <v>500</v>
      </c>
      <c r="I303" s="33" t="s">
        <v>35</v>
      </c>
      <c r="J303" s="33" t="s">
        <v>122</v>
      </c>
    </row>
    <row r="304" spans="1:10">
      <c r="A304" s="48" t="s">
        <v>36</v>
      </c>
      <c r="H304" s="33">
        <v>500</v>
      </c>
      <c r="I304" s="33" t="s">
        <v>35</v>
      </c>
      <c r="J304" s="33" t="s">
        <v>122</v>
      </c>
    </row>
    <row r="305" spans="1:10">
      <c r="A305" s="48" t="s">
        <v>52</v>
      </c>
      <c r="H305" s="33">
        <v>500</v>
      </c>
      <c r="I305" s="33" t="s">
        <v>35</v>
      </c>
      <c r="J305" s="33" t="s">
        <v>122</v>
      </c>
    </row>
    <row r="306" spans="1:10">
      <c r="A306" s="48" t="s">
        <v>53</v>
      </c>
      <c r="H306" s="33">
        <v>500</v>
      </c>
      <c r="I306" s="33" t="s">
        <v>35</v>
      </c>
      <c r="J306" s="33" t="s">
        <v>122</v>
      </c>
    </row>
    <row r="307" spans="1:10">
      <c r="A307" s="48" t="s">
        <v>51</v>
      </c>
      <c r="H307" s="33">
        <v>500</v>
      </c>
      <c r="I307" s="33" t="s">
        <v>35</v>
      </c>
      <c r="J307" s="33" t="s">
        <v>122</v>
      </c>
    </row>
    <row r="308" spans="1:10">
      <c r="A308" s="48" t="s">
        <v>50</v>
      </c>
      <c r="H308" s="33">
        <v>500</v>
      </c>
      <c r="I308" s="33" t="s">
        <v>35</v>
      </c>
      <c r="J308" s="33" t="s">
        <v>122</v>
      </c>
    </row>
    <row r="309" spans="1:10">
      <c r="A309" s="48" t="s">
        <v>70</v>
      </c>
      <c r="H309" s="33">
        <v>500</v>
      </c>
      <c r="I309" s="33" t="s">
        <v>35</v>
      </c>
      <c r="J309" s="33" t="s">
        <v>122</v>
      </c>
    </row>
    <row r="310" spans="1:10">
      <c r="A310" s="48" t="s">
        <v>66</v>
      </c>
      <c r="H310" s="33">
        <v>500</v>
      </c>
      <c r="I310" s="33" t="s">
        <v>35</v>
      </c>
      <c r="J310" s="33" t="s">
        <v>122</v>
      </c>
    </row>
    <row r="311" spans="1:10">
      <c r="A311" s="48" t="s">
        <v>64</v>
      </c>
      <c r="H311" s="33">
        <v>500</v>
      </c>
      <c r="I311" s="33" t="s">
        <v>35</v>
      </c>
      <c r="J311" s="33" t="s">
        <v>122</v>
      </c>
    </row>
    <row r="312" spans="1:10">
      <c r="A312" s="48" t="s">
        <v>63</v>
      </c>
      <c r="H312" s="33">
        <v>500</v>
      </c>
      <c r="I312" s="33" t="s">
        <v>35</v>
      </c>
      <c r="J312" s="33" t="s">
        <v>122</v>
      </c>
    </row>
    <row r="313" spans="1:10">
      <c r="A313" s="48" t="s">
        <v>90</v>
      </c>
      <c r="H313" s="33">
        <v>500</v>
      </c>
      <c r="I313" s="33" t="s">
        <v>35</v>
      </c>
      <c r="J313" s="33" t="s">
        <v>122</v>
      </c>
    </row>
    <row r="314" spans="1:10">
      <c r="A314" s="48" t="s">
        <v>82</v>
      </c>
      <c r="H314" s="33">
        <v>500</v>
      </c>
      <c r="I314" s="33" t="s">
        <v>35</v>
      </c>
      <c r="J314" s="33" t="s">
        <v>122</v>
      </c>
    </row>
    <row r="315" spans="1:10">
      <c r="A315" s="48" t="s">
        <v>80</v>
      </c>
      <c r="H315" s="33">
        <v>500</v>
      </c>
      <c r="I315" s="33" t="s">
        <v>35</v>
      </c>
      <c r="J315" s="33" t="s">
        <v>122</v>
      </c>
    </row>
    <row r="316" spans="1:10">
      <c r="A316" s="48" t="s">
        <v>93</v>
      </c>
      <c r="H316" s="33">
        <v>500</v>
      </c>
      <c r="I316" s="33" t="s">
        <v>35</v>
      </c>
      <c r="J316" s="33" t="s">
        <v>122</v>
      </c>
    </row>
    <row r="317" spans="1:10">
      <c r="A317" s="48" t="s">
        <v>79</v>
      </c>
      <c r="H317" s="33">
        <v>500</v>
      </c>
      <c r="I317" s="33" t="s">
        <v>35</v>
      </c>
      <c r="J317" s="33" t="s">
        <v>122</v>
      </c>
    </row>
    <row r="318" spans="1:10">
      <c r="A318" s="48" t="s">
        <v>57</v>
      </c>
      <c r="H318" s="33">
        <v>500</v>
      </c>
      <c r="I318" s="33" t="s">
        <v>35</v>
      </c>
      <c r="J318" s="33" t="s">
        <v>122</v>
      </c>
    </row>
    <row r="319" spans="1:10">
      <c r="A319" s="48" t="s">
        <v>73</v>
      </c>
      <c r="H319" s="33">
        <v>500</v>
      </c>
      <c r="I319" s="33" t="s">
        <v>35</v>
      </c>
      <c r="J319" s="33" t="s">
        <v>122</v>
      </c>
    </row>
    <row r="320" spans="1:10">
      <c r="A320" s="48" t="s">
        <v>100</v>
      </c>
      <c r="H320" s="33">
        <v>500</v>
      </c>
      <c r="I320" s="33" t="s">
        <v>35</v>
      </c>
      <c r="J320" s="33" t="s">
        <v>122</v>
      </c>
    </row>
    <row r="321" spans="1:10">
      <c r="A321" s="48" t="s">
        <v>103</v>
      </c>
      <c r="H321" s="33">
        <v>500</v>
      </c>
      <c r="I321" s="33" t="s">
        <v>35</v>
      </c>
      <c r="J321" s="33" t="s">
        <v>122</v>
      </c>
    </row>
    <row r="322" spans="1:10">
      <c r="A322" s="48" t="s">
        <v>104</v>
      </c>
      <c r="H322" s="33">
        <v>500</v>
      </c>
      <c r="I322" s="33" t="s">
        <v>35</v>
      </c>
      <c r="J322" s="33" t="s">
        <v>122</v>
      </c>
    </row>
    <row r="323" spans="1:10">
      <c r="A323" s="48" t="s">
        <v>105</v>
      </c>
      <c r="H323" s="33">
        <v>500</v>
      </c>
      <c r="I323" s="33" t="s">
        <v>35</v>
      </c>
      <c r="J323" s="33" t="s">
        <v>122</v>
      </c>
    </row>
    <row r="324" spans="1:10">
      <c r="A324" s="48" t="s">
        <v>106</v>
      </c>
      <c r="H324" s="33">
        <v>500</v>
      </c>
      <c r="I324" s="33" t="s">
        <v>35</v>
      </c>
      <c r="J324" s="33" t="s">
        <v>122</v>
      </c>
    </row>
    <row r="325" spans="1:10">
      <c r="A325" s="48" t="s">
        <v>107</v>
      </c>
      <c r="H325" s="33">
        <v>500</v>
      </c>
      <c r="I325" s="33" t="s">
        <v>35</v>
      </c>
      <c r="J325" s="33" t="s">
        <v>122</v>
      </c>
    </row>
    <row r="326" spans="1:10">
      <c r="A326" s="48" t="s">
        <v>108</v>
      </c>
      <c r="H326" s="33">
        <v>500</v>
      </c>
      <c r="I326" s="33" t="s">
        <v>35</v>
      </c>
      <c r="J326" s="33" t="s">
        <v>122</v>
      </c>
    </row>
    <row r="327" spans="1:10">
      <c r="A327" s="48" t="s">
        <v>109</v>
      </c>
      <c r="H327" s="33">
        <v>500</v>
      </c>
      <c r="I327" s="33" t="s">
        <v>35</v>
      </c>
      <c r="J327" s="33" t="s">
        <v>122</v>
      </c>
    </row>
    <row r="328" spans="1:10">
      <c r="A328" s="49" t="s">
        <v>111</v>
      </c>
      <c r="H328" s="33">
        <v>500</v>
      </c>
      <c r="I328" s="33" t="s">
        <v>35</v>
      </c>
      <c r="J328" s="33" t="s">
        <v>122</v>
      </c>
    </row>
    <row r="329" spans="1:10">
      <c r="A329" s="49" t="s">
        <v>112</v>
      </c>
      <c r="H329" s="33">
        <v>500</v>
      </c>
      <c r="I329" s="33" t="s">
        <v>35</v>
      </c>
      <c r="J329" s="33" t="s">
        <v>122</v>
      </c>
    </row>
    <row r="330" spans="1:10">
      <c r="A330" s="49" t="s">
        <v>113</v>
      </c>
      <c r="H330" s="33">
        <v>500</v>
      </c>
      <c r="I330" s="33" t="s">
        <v>35</v>
      </c>
      <c r="J330" s="33" t="s">
        <v>122</v>
      </c>
    </row>
    <row r="331" spans="1:10">
      <c r="A331" s="49" t="s">
        <v>97</v>
      </c>
      <c r="H331" s="33">
        <v>500</v>
      </c>
      <c r="I331" s="33" t="s">
        <v>35</v>
      </c>
      <c r="J331" s="33" t="s">
        <v>122</v>
      </c>
    </row>
    <row r="332" spans="1:10">
      <c r="A332" s="49" t="s">
        <v>84</v>
      </c>
      <c r="H332" s="33">
        <v>500</v>
      </c>
      <c r="I332" s="33" t="s">
        <v>35</v>
      </c>
      <c r="J332" s="33" t="s">
        <v>122</v>
      </c>
    </row>
    <row r="333" spans="1:10">
      <c r="A333" s="49" t="s">
        <v>86</v>
      </c>
      <c r="H333" s="33">
        <v>500</v>
      </c>
      <c r="I333" s="33" t="s">
        <v>35</v>
      </c>
      <c r="J333" s="33" t="s">
        <v>122</v>
      </c>
    </row>
    <row r="334" spans="1:10">
      <c r="A334" s="49" t="s">
        <v>40</v>
      </c>
      <c r="H334" s="33">
        <v>500</v>
      </c>
      <c r="I334" s="33" t="s">
        <v>35</v>
      </c>
      <c r="J334" s="33" t="s">
        <v>122</v>
      </c>
    </row>
    <row r="335" spans="1:10">
      <c r="A335" s="49" t="s">
        <v>38</v>
      </c>
      <c r="H335" s="33">
        <v>500</v>
      </c>
      <c r="I335" s="33" t="s">
        <v>35</v>
      </c>
      <c r="J335" s="33" t="s">
        <v>122</v>
      </c>
    </row>
    <row r="336" spans="1:10">
      <c r="A336" s="49" t="s">
        <v>34</v>
      </c>
      <c r="H336" s="33">
        <v>500</v>
      </c>
      <c r="I336" s="33" t="s">
        <v>35</v>
      </c>
      <c r="J336" s="33" t="s">
        <v>122</v>
      </c>
    </row>
    <row r="337" spans="1:10">
      <c r="A337" s="49" t="s">
        <v>37</v>
      </c>
      <c r="H337" s="33">
        <v>500</v>
      </c>
      <c r="I337" s="33" t="s">
        <v>35</v>
      </c>
      <c r="J337" s="33" t="s">
        <v>122</v>
      </c>
    </row>
    <row r="338" spans="1:10">
      <c r="A338" s="49" t="s">
        <v>39</v>
      </c>
      <c r="H338" s="33">
        <v>500</v>
      </c>
      <c r="I338" s="33" t="s">
        <v>35</v>
      </c>
      <c r="J338" s="33" t="s">
        <v>122</v>
      </c>
    </row>
    <row r="339" spans="1:10">
      <c r="A339" s="49" t="s">
        <v>88</v>
      </c>
      <c r="H339" s="33">
        <v>500</v>
      </c>
      <c r="I339" s="33" t="s">
        <v>35</v>
      </c>
      <c r="J339" s="33" t="s">
        <v>122</v>
      </c>
    </row>
    <row r="340" spans="1:10">
      <c r="A340" s="49" t="s">
        <v>92</v>
      </c>
      <c r="H340" s="33">
        <v>500</v>
      </c>
      <c r="I340" s="33" t="s">
        <v>35</v>
      </c>
      <c r="J340" s="33" t="s">
        <v>122</v>
      </c>
    </row>
    <row r="341" spans="1:10">
      <c r="A341" s="49" t="s">
        <v>87</v>
      </c>
      <c r="H341" s="33">
        <v>500</v>
      </c>
      <c r="I341" s="33" t="s">
        <v>35</v>
      </c>
      <c r="J341" s="33" t="s">
        <v>122</v>
      </c>
    </row>
    <row r="342" spans="1:10">
      <c r="A342" s="49" t="s">
        <v>45</v>
      </c>
      <c r="H342" s="33">
        <v>500</v>
      </c>
      <c r="I342" s="33" t="s">
        <v>35</v>
      </c>
      <c r="J342" s="33" t="s">
        <v>122</v>
      </c>
    </row>
    <row r="343" spans="1:10">
      <c r="A343" s="49" t="s">
        <v>46</v>
      </c>
      <c r="H343" s="33">
        <v>500</v>
      </c>
      <c r="I343" s="33" t="s">
        <v>35</v>
      </c>
      <c r="J343" s="33" t="s">
        <v>122</v>
      </c>
    </row>
    <row r="344" spans="1:10">
      <c r="A344" s="49" t="s">
        <v>77</v>
      </c>
      <c r="H344" s="33">
        <v>500</v>
      </c>
      <c r="I344" s="33" t="s">
        <v>35</v>
      </c>
      <c r="J344" s="33" t="s">
        <v>122</v>
      </c>
    </row>
    <row r="345" spans="1:10">
      <c r="A345" s="49" t="s">
        <v>72</v>
      </c>
      <c r="H345" s="33">
        <v>500</v>
      </c>
      <c r="I345" s="33" t="s">
        <v>35</v>
      </c>
      <c r="J345" s="33" t="s">
        <v>122</v>
      </c>
    </row>
    <row r="346" spans="1:10">
      <c r="A346" s="49" t="s">
        <v>78</v>
      </c>
      <c r="H346" s="33">
        <v>500</v>
      </c>
      <c r="I346" s="33" t="s">
        <v>35</v>
      </c>
      <c r="J346" s="33" t="s">
        <v>122</v>
      </c>
    </row>
    <row r="347" spans="1:10">
      <c r="A347" s="49" t="s">
        <v>58</v>
      </c>
      <c r="H347" s="33">
        <v>500</v>
      </c>
      <c r="I347" s="33" t="s">
        <v>35</v>
      </c>
      <c r="J347" s="33" t="s">
        <v>122</v>
      </c>
    </row>
    <row r="348" spans="1:10">
      <c r="A348" s="49" t="s">
        <v>56</v>
      </c>
      <c r="H348" s="33">
        <v>500</v>
      </c>
      <c r="I348" s="33" t="s">
        <v>35</v>
      </c>
      <c r="J348" s="33" t="s">
        <v>122</v>
      </c>
    </row>
    <row r="349" spans="1:10">
      <c r="A349" s="49" t="s">
        <v>54</v>
      </c>
      <c r="H349" s="33">
        <v>500</v>
      </c>
      <c r="I349" s="33" t="s">
        <v>35</v>
      </c>
      <c r="J349" s="33" t="s">
        <v>122</v>
      </c>
    </row>
    <row r="350" spans="1:10">
      <c r="A350" s="49" t="s">
        <v>85</v>
      </c>
      <c r="H350" s="33">
        <v>500</v>
      </c>
      <c r="I350" s="33" t="s">
        <v>35</v>
      </c>
      <c r="J350" s="33" t="s">
        <v>122</v>
      </c>
    </row>
    <row r="351" spans="1:10">
      <c r="A351" s="49" t="s">
        <v>75</v>
      </c>
      <c r="H351" s="33">
        <v>500</v>
      </c>
      <c r="I351" s="33" t="s">
        <v>35</v>
      </c>
      <c r="J351" s="33" t="s">
        <v>122</v>
      </c>
    </row>
    <row r="352" spans="1:10">
      <c r="A352" s="49" t="s">
        <v>47</v>
      </c>
      <c r="H352" s="33">
        <v>500</v>
      </c>
      <c r="I352" s="33" t="s">
        <v>35</v>
      </c>
      <c r="J352" s="33" t="s">
        <v>122</v>
      </c>
    </row>
    <row r="353" spans="1:10">
      <c r="A353" s="49" t="s">
        <v>44</v>
      </c>
      <c r="H353" s="33">
        <v>500</v>
      </c>
      <c r="I353" s="33" t="s">
        <v>35</v>
      </c>
      <c r="J353" s="33" t="s">
        <v>122</v>
      </c>
    </row>
    <row r="354" spans="1:10">
      <c r="A354" s="49" t="s">
        <v>94</v>
      </c>
      <c r="H354" s="33">
        <v>500</v>
      </c>
      <c r="I354" s="33" t="s">
        <v>35</v>
      </c>
      <c r="J354" s="33" t="s">
        <v>122</v>
      </c>
    </row>
    <row r="355" spans="1:10">
      <c r="A355" s="49" t="s">
        <v>95</v>
      </c>
      <c r="H355" s="33">
        <v>500</v>
      </c>
      <c r="I355" s="33" t="s">
        <v>35</v>
      </c>
      <c r="J355" s="33" t="s">
        <v>122</v>
      </c>
    </row>
    <row r="356" spans="1:10">
      <c r="A356" s="49" t="s">
        <v>96</v>
      </c>
      <c r="H356" s="33">
        <v>500</v>
      </c>
      <c r="I356" s="33" t="s">
        <v>35</v>
      </c>
      <c r="J356" s="33" t="s">
        <v>122</v>
      </c>
    </row>
    <row r="357" spans="1:10">
      <c r="A357" s="49" t="s">
        <v>98</v>
      </c>
      <c r="H357" s="33">
        <v>500</v>
      </c>
      <c r="I357" s="33" t="s">
        <v>35</v>
      </c>
      <c r="J357" s="33" t="s">
        <v>122</v>
      </c>
    </row>
    <row r="358" spans="1:10">
      <c r="A358" s="49" t="s">
        <v>114</v>
      </c>
      <c r="H358" s="33">
        <v>500</v>
      </c>
      <c r="I358" s="33" t="s">
        <v>35</v>
      </c>
      <c r="J358" s="33" t="s">
        <v>122</v>
      </c>
    </row>
    <row r="359" spans="1:10">
      <c r="A359" s="49" t="s">
        <v>115</v>
      </c>
      <c r="H359" s="33">
        <v>500</v>
      </c>
      <c r="I359" s="33" t="s">
        <v>35</v>
      </c>
      <c r="J359" s="33" t="s">
        <v>122</v>
      </c>
    </row>
    <row r="360" spans="1:10">
      <c r="A360" s="49" t="s">
        <v>117</v>
      </c>
      <c r="H360" s="33">
        <v>500</v>
      </c>
      <c r="I360" s="33" t="s">
        <v>35</v>
      </c>
      <c r="J360" s="33" t="s">
        <v>122</v>
      </c>
    </row>
    <row r="361" spans="1:10">
      <c r="A361" s="49" t="s">
        <v>69</v>
      </c>
      <c r="H361" s="33">
        <v>500</v>
      </c>
      <c r="I361" s="33" t="s">
        <v>35</v>
      </c>
      <c r="J361" s="33" t="s">
        <v>122</v>
      </c>
    </row>
    <row r="362" spans="1:10">
      <c r="A362" s="49" t="s">
        <v>62</v>
      </c>
      <c r="H362" s="33">
        <v>500</v>
      </c>
      <c r="I362" s="33" t="s">
        <v>35</v>
      </c>
      <c r="J362" s="33" t="s">
        <v>122</v>
      </c>
    </row>
    <row r="363" spans="1:10">
      <c r="A363" s="49" t="s">
        <v>74</v>
      </c>
      <c r="H363" s="33">
        <v>500</v>
      </c>
      <c r="I363" s="33" t="s">
        <v>35</v>
      </c>
      <c r="J363" s="33" t="s">
        <v>122</v>
      </c>
    </row>
    <row r="364" spans="1:10">
      <c r="A364" s="49" t="s">
        <v>83</v>
      </c>
      <c r="H364" s="33">
        <v>500</v>
      </c>
      <c r="I364" s="33" t="s">
        <v>35</v>
      </c>
      <c r="J364" s="33" t="s">
        <v>122</v>
      </c>
    </row>
    <row r="365" spans="1:10">
      <c r="A365" s="49" t="s">
        <v>81</v>
      </c>
      <c r="H365" s="33">
        <v>500</v>
      </c>
      <c r="I365" s="33" t="s">
        <v>35</v>
      </c>
      <c r="J365" s="33" t="s">
        <v>122</v>
      </c>
    </row>
    <row r="366" spans="1:10">
      <c r="A366" s="50" t="s">
        <v>43</v>
      </c>
      <c r="B366" s="43"/>
      <c r="C366" s="43"/>
      <c r="D366" s="43"/>
      <c r="E366" s="43"/>
      <c r="F366" s="43"/>
      <c r="G366" s="43"/>
      <c r="H366" s="33">
        <v>500</v>
      </c>
      <c r="I366" s="33" t="s">
        <v>35</v>
      </c>
      <c r="J366" s="33" t="s">
        <v>122</v>
      </c>
    </row>
    <row r="367" spans="1:10">
      <c r="A367" s="50" t="s">
        <v>42</v>
      </c>
      <c r="B367" s="43"/>
      <c r="C367" s="43"/>
      <c r="D367" s="43"/>
      <c r="E367" s="43"/>
      <c r="F367" s="43"/>
      <c r="G367" s="43"/>
      <c r="H367" s="33">
        <v>500</v>
      </c>
      <c r="I367" s="33" t="s">
        <v>35</v>
      </c>
      <c r="J367" s="33" t="s">
        <v>122</v>
      </c>
    </row>
    <row r="368" spans="1:10">
      <c r="A368" s="50" t="s">
        <v>118</v>
      </c>
      <c r="B368" s="43"/>
      <c r="C368" s="43"/>
      <c r="D368" s="43"/>
      <c r="E368" s="43"/>
      <c r="F368" s="43"/>
      <c r="G368" s="43"/>
      <c r="H368" s="33">
        <v>500</v>
      </c>
      <c r="I368" s="33" t="s">
        <v>35</v>
      </c>
      <c r="J368" s="33" t="s">
        <v>122</v>
      </c>
    </row>
    <row r="369" spans="1:10">
      <c r="A369" s="50" t="s">
        <v>119</v>
      </c>
      <c r="B369" s="43"/>
      <c r="C369" s="43"/>
      <c r="D369" s="43"/>
      <c r="E369" s="43"/>
      <c r="F369" s="43"/>
      <c r="G369" s="43"/>
      <c r="H369" s="33">
        <v>500</v>
      </c>
      <c r="I369" s="33" t="s">
        <v>35</v>
      </c>
      <c r="J369" s="33" t="s">
        <v>122</v>
      </c>
    </row>
    <row r="370" spans="1:10">
      <c r="A370" s="51" t="s">
        <v>120</v>
      </c>
      <c r="B370" s="43"/>
      <c r="C370" s="43"/>
      <c r="D370" s="43"/>
      <c r="E370" s="43"/>
      <c r="F370" s="43"/>
      <c r="G370" s="43"/>
      <c r="H370" s="33">
        <v>500</v>
      </c>
      <c r="I370" s="33" t="s">
        <v>35</v>
      </c>
      <c r="J370" s="33" t="s">
        <v>122</v>
      </c>
    </row>
  </sheetData>
  <conditionalFormatting sqref="A2:A210 A366:A1365">
    <cfRule type="expression" dxfId="21" priority="4">
      <formula>COUNTIF($A:$A,A2)&gt;1</formula>
    </cfRule>
  </conditionalFormatting>
  <dataValidations count="4">
    <dataValidation type="list" allowBlank="1" showInputMessage="1" showErrorMessage="1" sqref="H371:H1048576 I1:I370" xr:uid="{0E445691-740F-49AF-A0AF-2AE4DBBCE66E}">
      <formula1>$T$6:$T$8</formula1>
    </dataValidation>
    <dataValidation type="custom" allowBlank="1" showInputMessage="1" showErrorMessage="1" errorTitle="Dup Kit" error="This Kit already exists in the Orders table." sqref="A366:A1048576 A222:A294 A1:A220" xr:uid="{F73D185B-C9AA-4385-84C5-D4C53304F4FB}">
      <formula1>COUNTIF($A:$A,A2)=1</formula1>
    </dataValidation>
    <dataValidation type="custom" allowBlank="1" showInputMessage="1" showErrorMessage="1" errorTitle="Dup Kit" error="This Kit already exists in the Orders table." sqref="A295 A221" xr:uid="{5A107334-AB00-455C-BA95-EEE9F76D16FC}">
      <formula1>COUNTIF($A:$A,#REF!)=1</formula1>
    </dataValidation>
    <dataValidation type="list" allowBlank="1" showInputMessage="1" showErrorMessage="1" sqref="J1:J1048576" xr:uid="{EDF625EC-A4F1-4B4F-BC2F-EC7DB45AB3B8}">
      <formula1>$T$13:$T$15</formula1>
    </dataValidation>
  </dataValidations>
  <pageMargins left="0.7" right="0.7" top="0.75" bottom="0.75" header="0.3" footer="0.3"/>
  <pageSetup orientation="portrait" horizontalDpi="1200" verticalDpi="1200"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e4407497-b3c0-4604-b20b-74f55ac2454d">
      <Terms xmlns="http://schemas.microsoft.com/office/infopath/2007/PartnerControls"/>
    </lcf76f155ced4ddcb4097134ff3c332f>
    <TaxCatchAll xmlns="458355cd-2e48-4d4e-bb8a-09df581d9f04"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A6F2924C615E8C42A7E45813C1683196" ma:contentTypeVersion="22" ma:contentTypeDescription="Create a new document." ma:contentTypeScope="" ma:versionID="d4ed332ba6f411c61502ea2efd39a5ce">
  <xsd:schema xmlns:xsd="http://www.w3.org/2001/XMLSchema" xmlns:xs="http://www.w3.org/2001/XMLSchema" xmlns:p="http://schemas.microsoft.com/office/2006/metadata/properties" xmlns:ns2="458355cd-2e48-4d4e-bb8a-09df581d9f04" xmlns:ns3="e4407497-b3c0-4604-b20b-74f55ac2454d" targetNamespace="http://schemas.microsoft.com/office/2006/metadata/properties" ma:root="true" ma:fieldsID="36b0be4e9f9d7097852051c09fb68972" ns2:_="" ns3:_="">
    <xsd:import namespace="458355cd-2e48-4d4e-bb8a-09df581d9f04"/>
    <xsd:import namespace="e4407497-b3c0-4604-b20b-74f55ac2454d"/>
    <xsd:element name="properties">
      <xsd:complexType>
        <xsd:sequence>
          <xsd:element name="documentManagement">
            <xsd:complexType>
              <xsd:all>
                <xsd:element ref="ns2:SharedWithUsers" minOccurs="0"/>
                <xsd:element ref="ns2:SharedWithDetails" minOccurs="0"/>
                <xsd:element ref="ns3:MediaServiceMetadata" minOccurs="0"/>
                <xsd:element ref="ns3:MediaServiceFastMetadata" minOccurs="0"/>
                <xsd:element ref="ns3:MediaServiceAutoTags" minOccurs="0"/>
                <xsd:element ref="ns3:MediaServiceGenerationTime" minOccurs="0"/>
                <xsd:element ref="ns3:MediaServiceEventHashCode" minOccurs="0"/>
                <xsd:element ref="ns3:MediaServiceAutoKeyPoints" minOccurs="0"/>
                <xsd:element ref="ns3:MediaServiceKeyPoints" minOccurs="0"/>
                <xsd:element ref="ns3:MediaServiceOCR" minOccurs="0"/>
                <xsd:element ref="ns3:MediaServiceDateTaken" minOccurs="0"/>
                <xsd:element ref="ns3:MediaServiceObjectDetectorVersions" minOccurs="0"/>
                <xsd:element ref="ns3:MediaLengthInSeconds" minOccurs="0"/>
                <xsd:element ref="ns3:lcf76f155ced4ddcb4097134ff3c332f" minOccurs="0"/>
                <xsd:element ref="ns2:TaxCatchAll" minOccurs="0"/>
                <xsd:element ref="ns3:MediaServiceLocation"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58355cd-2e48-4d4e-bb8a-09df581d9f04" elementFormDefault="qualified">
    <xsd:import namespace="http://schemas.microsoft.com/office/2006/documentManagement/types"/>
    <xsd:import namespace="http://schemas.microsoft.com/office/infopath/2007/PartnerControls"/>
    <xsd:element name="SharedWithUsers" ma:index="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76e92894-75b0-45c1-be50-6d808513d957}" ma:internalName="TaxCatchAll" ma:showField="CatchAllData" ma:web="458355cd-2e48-4d4e-bb8a-09df581d9f04">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e4407497-b3c0-4604-b20b-74f55ac2454d" elementFormDefault="qualified">
    <xsd:import namespace="http://schemas.microsoft.com/office/2006/documentManagement/types"/>
    <xsd:import namespace="http://schemas.microsoft.com/office/infopath/2007/PartnerControls"/>
    <xsd:element name="MediaServiceMetadata" ma:index="10" nillable="true" ma:displayName="MediaServiceMetadata" ma:hidden="true" ma:internalName="MediaServiceMetadata" ma:readOnly="true">
      <xsd:simpleType>
        <xsd:restriction base="dms:Note"/>
      </xsd:simpleType>
    </xsd:element>
    <xsd:element name="MediaServiceFastMetadata" ma:index="11" nillable="true" ma:displayName="MediaServiceFastMetadata" ma:hidden="true" ma:internalName="MediaServiceFastMetadata" ma:readOnly="true">
      <xsd:simpleType>
        <xsd:restriction base="dms:Note"/>
      </xsd:simpleType>
    </xsd:element>
    <xsd:element name="MediaServiceAutoTags" ma:index="12" nillable="true" ma:displayName="Tags" ma:internalName="MediaServiceAutoTags"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ServiceAutoKeyPoints" ma:index="15" nillable="true" ma:displayName="MediaServiceAutoKeyPoints" ma:hidden="true" ma:internalName="MediaServiceAutoKeyPoints" ma:readOnly="true">
      <xsd:simpleType>
        <xsd:restriction base="dms:Note"/>
      </xsd:simpleType>
    </xsd:element>
    <xsd:element name="MediaServiceKeyPoints" ma:index="16" nillable="true" ma:displayName="KeyPoints" ma:internalName="MediaServiceKeyPoints" ma:readOnly="true">
      <xsd:simpleType>
        <xsd:restriction base="dms:Note">
          <xsd:maxLength value="255"/>
        </xsd:restriction>
      </xsd:simpleType>
    </xsd:element>
    <xsd:element name="MediaServiceOCR" ma:index="17" nillable="true" ma:displayName="Extracted Text" ma:internalName="MediaServiceOCR" ma:readOnly="true">
      <xsd:simpleType>
        <xsd:restriction base="dms:Note">
          <xsd:maxLength value="255"/>
        </xsd:restriction>
      </xsd:simpleType>
    </xsd:element>
    <xsd:element name="MediaServiceDateTaken" ma:index="18" nillable="true" ma:displayName="MediaServiceDateTaken" ma:hidden="true" ma:indexed="true" ma:internalName="MediaServiceDateTaken" ma:readOnly="true">
      <xsd:simpleType>
        <xsd:restriction base="dms:Text"/>
      </xsd:simpleType>
    </xsd:element>
    <xsd:element name="MediaServiceObjectDetectorVersions" ma:index="19" nillable="true" ma:displayName="MediaServiceObjectDetectorVersions" ma:hidden="true" ma:indexed="true" ma:internalName="MediaServiceObjectDetectorVersions" ma:readOnly="true">
      <xsd:simpleType>
        <xsd:restriction base="dms:Text"/>
      </xsd:simpleType>
    </xsd:element>
    <xsd:element name="MediaLengthInSeconds" ma:index="20" nillable="true" ma:displayName="MediaLengthInSeconds" ma:hidden="true" ma:internalName="MediaLengthInSeconds" ma:readOnly="true">
      <xsd:simpleType>
        <xsd:restriction base="dms:Unknown"/>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b5706904-bd68-4ba9-81fe-66a5b4b7a6e4" ma:termSetId="09814cd3-568e-fe90-9814-8d621ff8fb84" ma:anchorId="fba54fb3-c3e1-fe81-a776-ca4b69148c4d" ma:open="true" ma:isKeyword="false">
      <xsd:complexType>
        <xsd:sequence>
          <xsd:element ref="pc:Terms" minOccurs="0" maxOccurs="1"/>
        </xsd:sequence>
      </xsd:complexType>
    </xsd:element>
    <xsd:element name="MediaServiceLocation" ma:index="24" nillable="true" ma:displayName="Location" ma:indexed="true" ma:internalName="MediaServiceLocation"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GDTP6BTNJBUIXADFGFEZPR5SIIP7WDUJ:ms-officescript%3A%2F%2Fonedrive_business_sharinglink%2Fu!aHR0cHM6Ly9zbWFydHNvdXJjZXJlbnRhbHMtbXkuc2hhcmVwb2ludC5jb20vOnU6L2cvcGVyc29uYWwvY2JveWRfdGhlc21hcnRzb3VyY2VfY29tL0lRQnRTR2lMZ0dVeFNaZkhza0lmLXc2SkFYUlVJVkpqUVhMYU1QZktKNGp2OGE4"/>
</scriptIds>
</file>

<file path=customXml/item5.xml>�� 
</file>

<file path=customXml/itemProps1.xml><?xml version="1.0" encoding="utf-8"?>
<ds:datastoreItem xmlns:ds="http://schemas.openxmlformats.org/officeDocument/2006/customXml" ds:itemID="{86BBD4FB-3B9F-48C6-8547-95834EFE1527}">
  <ds:schemaRefs>
    <ds:schemaRef ds:uri="http://schemas.microsoft.com/sharepoint/v3/contenttype/forms"/>
  </ds:schemaRefs>
</ds:datastoreItem>
</file>

<file path=customXml/itemProps2.xml><?xml version="1.0" encoding="utf-8"?>
<ds:datastoreItem xmlns:ds="http://schemas.openxmlformats.org/officeDocument/2006/customXml" ds:itemID="{4BA7ED57-B256-43B3-AF88-B0228B79D7DB}">
  <ds:schemaRefs>
    <ds:schemaRef ds:uri="http://schemas.openxmlformats.org/package/2006/metadata/core-properties"/>
    <ds:schemaRef ds:uri="http://purl.org/dc/elements/1.1/"/>
    <ds:schemaRef ds:uri="http://purl.org/dc/terms/"/>
    <ds:schemaRef ds:uri="http://www.w3.org/XML/1998/namespace"/>
    <ds:schemaRef ds:uri="http://schemas.microsoft.com/office/infopath/2007/PartnerControls"/>
    <ds:schemaRef ds:uri="http://schemas.microsoft.com/office/2006/documentManagement/types"/>
    <ds:schemaRef ds:uri="http://schemas.microsoft.com/office/2006/metadata/properties"/>
    <ds:schemaRef ds:uri="e4407497-b3c0-4604-b20b-74f55ac2454d"/>
    <ds:schemaRef ds:uri="458355cd-2e48-4d4e-bb8a-09df581d9f04"/>
    <ds:schemaRef ds:uri="http://purl.org/dc/dcmitype/"/>
  </ds:schemaRefs>
</ds:datastoreItem>
</file>

<file path=customXml/itemProps3.xml><?xml version="1.0" encoding="utf-8"?>
<ds:datastoreItem xmlns:ds="http://schemas.openxmlformats.org/officeDocument/2006/customXml" ds:itemID="{1A031CB7-6811-4F6D-90B0-2D991FCFE9C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58355cd-2e48-4d4e-bb8a-09df581d9f04"/>
    <ds:schemaRef ds:uri="e4407497-b3c0-4604-b20b-74f55ac2454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C4738F61-031C-4745-A9EF-306331B84CDA}">
  <ds:schemaRefs>
    <ds:schemaRef ds:uri="http://schemas.microsoft.com/office/extensibility/maker/v1.0"/>
  </ds:schemaRefs>
</ds:datastoreItem>
</file>

<file path=customXml/itemProps5.xml><?xml version="1.0" encoding="utf-8"?>
<ds:datastoreItem xmlns:ds="http://schemas.openxmlformats.org/officeDocument/2006/customXml" ds:itemID="{EDC916B7-3E49-4BDB-9655-9CC107DE6925}">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Data Calculator</vt:lpstr>
      <vt:lpstr>Orders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Chris Boyd</cp:lastModifiedBy>
  <cp:revision/>
  <dcterms:created xsi:type="dcterms:W3CDTF">2026-07-10T16:59:35Z</dcterms:created>
  <dcterms:modified xsi:type="dcterms:W3CDTF">2026-08-24T18:46:10Z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0x010100A6F2924C615E8C42A7E45813C1683196</vt:lpwstr>
  </property>
  <property fmtid="{D5CDD505-2E9C-101B-9397-08002B2CF9AE}" pid="3" name="MediaServiceImageTags">
    <vt:lpwstr/>
  </property>
</Properties>
</file>